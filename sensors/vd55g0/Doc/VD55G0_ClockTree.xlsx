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a\Documents\ST\Sensors\S6G3_Fox\S6G3_AppDoc\docs\user_manuals\Ressources\"/>
    </mc:Choice>
  </mc:AlternateContent>
  <xr:revisionPtr revIDLastSave="0" documentId="13_ncr:1_{D74BAB32-AE29-420F-A800-0C9A97420D4D}" xr6:coauthVersionLast="44" xr6:coauthVersionMax="44" xr10:uidLastSave="{00000000-0000-0000-0000-000000000000}"/>
  <bookViews>
    <workbookView xWindow="-20610" yWindow="4440" windowWidth="20730" windowHeight="11760" xr2:uid="{ADECEC57-5F6C-4A8D-9A8B-748DC03855F6}"/>
  </bookViews>
  <sheets>
    <sheet name="Frame rate computation" sheetId="4" r:id="rId1"/>
    <sheet name="Speed range" sheetId="1" r:id="rId2"/>
    <sheet name="Classified as UnClassified" sheetId="3" state="hidden" r:id="rId3"/>
    <sheet name="xl_DCF_History" sheetId="2" state="veryHidden" r:id="rId4"/>
  </sheets>
  <definedNames>
    <definedName name="Bits">'Speed range'!$J$5</definedName>
    <definedName name="Frame_length">'Frame rate computation'!$B$13</definedName>
    <definedName name="FW_offset">'Frame rate computation'!$B$11</definedName>
    <definedName name="FW_PLL_multiplier">'Frame rate computation'!$B$3</definedName>
    <definedName name="Image_height">'Frame rate computation'!$B$10</definedName>
    <definedName name="Input__clock">'Frame rate computation'!$B$1</definedName>
    <definedName name="Input_clock">'Speed range'!$J$1</definedName>
    <definedName name="Line_length">'Frame rate computation'!$B$8</definedName>
    <definedName name="Line_time">'Frame rate computation'!$B$9</definedName>
    <definedName name="Maximum_frame_rate">'Frame rate computation'!$F$14</definedName>
    <definedName name="Minimum_FL">'Speed range'!$J$3</definedName>
    <definedName name="Minimum_frame_length">'Frame rate computation'!$F$13</definedName>
    <definedName name="Minimum_line_length">'Frame rate computation'!$F$8</definedName>
    <definedName name="Minimum_line_time">'Frame rate computation'!$F$9</definedName>
    <definedName name="Minimum_LL">'Speed range'!$J$4</definedName>
    <definedName name="Output_speed">'Frame rate computation'!$B$4</definedName>
    <definedName name="PacketHeader">'Speed range'!$J$7</definedName>
    <definedName name="Pix_clock_target">'Speed range'!$J$2</definedName>
    <definedName name="Pixel_clock">'Frame rate computation'!$B$6</definedName>
    <definedName name="Pixel_clock__MHz">'Frame rate computation'!$B$6</definedName>
    <definedName name="Pixel_clock_div">'Frame rate computation'!$B$5</definedName>
    <definedName name="Requested_frame_rate">'Frame rate computation'!$B$16</definedName>
    <definedName name="Requested_speed">'Frame rate computation'!$B$2</definedName>
    <definedName name="Requested_speed__Mbps">'Frame rate computation'!$B$2</definedName>
    <definedName name="Transition">'Speed range'!$J$6</definedName>
    <definedName name="Width">'Speed range'!$J$3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B3" i="4"/>
  <c r="B4" i="4" s="1"/>
  <c r="F37" i="1"/>
  <c r="F38" i="1"/>
  <c r="F39" i="1"/>
  <c r="F40" i="1"/>
  <c r="F8" i="4" l="1"/>
  <c r="B11" i="4" s="1"/>
  <c r="F13" i="4" s="1"/>
  <c r="B5" i="4"/>
  <c r="B6" i="4" s="1"/>
  <c r="B9" i="4" s="1"/>
  <c r="B17" i="4" s="1"/>
  <c r="A2" i="1"/>
  <c r="B2" i="1" s="1"/>
  <c r="B14" i="4" l="1"/>
  <c r="F14" i="4"/>
  <c r="F9" i="4"/>
  <c r="A3" i="1"/>
  <c r="C2" i="1"/>
  <c r="A4" i="1" l="1"/>
  <c r="B3" i="1"/>
  <c r="C3" i="1" s="1"/>
  <c r="D3" i="1" s="1"/>
  <c r="A5" i="1" l="1"/>
  <c r="B4" i="1"/>
  <c r="C4" i="1" s="1"/>
  <c r="E2" i="1"/>
  <c r="H2" i="1" s="1"/>
  <c r="F2" i="1"/>
  <c r="E3" i="1"/>
  <c r="F3" i="1"/>
  <c r="H3" i="1" l="1"/>
  <c r="A6" i="1"/>
  <c r="B5" i="1"/>
  <c r="C5" i="1" s="1"/>
  <c r="D5" i="1" s="1"/>
  <c r="G3" i="1"/>
  <c r="G2" i="1"/>
  <c r="D4" i="1"/>
  <c r="A7" i="1" l="1"/>
  <c r="B6" i="1"/>
  <c r="C6" i="1" s="1"/>
  <c r="D6" i="1" s="1"/>
  <c r="E6" i="1" s="1"/>
  <c r="E5" i="1"/>
  <c r="F5" i="1"/>
  <c r="E4" i="1"/>
  <c r="F4" i="1"/>
  <c r="F6" i="1" l="1"/>
  <c r="H6" i="1" s="1"/>
  <c r="H4" i="1"/>
  <c r="H5" i="1"/>
  <c r="A8" i="1"/>
  <c r="B7" i="1"/>
  <c r="C7" i="1" s="1"/>
  <c r="G4" i="1"/>
  <c r="G5" i="1"/>
  <c r="G6" i="1" l="1"/>
  <c r="D7" i="1"/>
  <c r="F7" i="1" s="1"/>
  <c r="A9" i="1"/>
  <c r="B8" i="1"/>
  <c r="C8" i="1" s="1"/>
  <c r="D8" i="1" l="1"/>
  <c r="F8" i="1" s="1"/>
  <c r="A10" i="1"/>
  <c r="B9" i="1"/>
  <c r="C9" i="1" s="1"/>
  <c r="E7" i="1"/>
  <c r="H7" i="1" s="1"/>
  <c r="D9" i="1" l="1"/>
  <c r="F9" i="1" s="1"/>
  <c r="A11" i="1"/>
  <c r="B10" i="1"/>
  <c r="C10" i="1" s="1"/>
  <c r="G7" i="1"/>
  <c r="E8" i="1"/>
  <c r="H8" i="1" s="1"/>
  <c r="D10" i="1" l="1"/>
  <c r="F10" i="1" s="1"/>
  <c r="G8" i="1"/>
  <c r="A12" i="1"/>
  <c r="B11" i="1"/>
  <c r="C11" i="1" s="1"/>
  <c r="E9" i="1"/>
  <c r="H9" i="1" s="1"/>
  <c r="G9" i="1" l="1"/>
  <c r="D11" i="1"/>
  <c r="F11" i="1" s="1"/>
  <c r="A13" i="1"/>
  <c r="B12" i="1"/>
  <c r="C12" i="1" s="1"/>
  <c r="E10" i="1"/>
  <c r="H10" i="1" s="1"/>
  <c r="D12" i="1" l="1"/>
  <c r="F12" i="1" s="1"/>
  <c r="A14" i="1"/>
  <c r="B13" i="1"/>
  <c r="C13" i="1" s="1"/>
  <c r="G10" i="1"/>
  <c r="E11" i="1"/>
  <c r="H11" i="1" s="1"/>
  <c r="E12" i="1" l="1"/>
  <c r="H12" i="1" s="1"/>
  <c r="D13" i="1"/>
  <c r="F13" i="1" s="1"/>
  <c r="G11" i="1"/>
  <c r="A15" i="1"/>
  <c r="B14" i="1"/>
  <c r="C14" i="1" s="1"/>
  <c r="E13" i="1" l="1"/>
  <c r="H13" i="1" s="1"/>
  <c r="G12" i="1"/>
  <c r="A16" i="1"/>
  <c r="B15" i="1"/>
  <c r="C15" i="1" s="1"/>
  <c r="D14" i="1"/>
  <c r="F14" i="1" s="1"/>
  <c r="G13" i="1" l="1"/>
  <c r="E14" i="1"/>
  <c r="H14" i="1" s="1"/>
  <c r="D15" i="1"/>
  <c r="F15" i="1" s="1"/>
  <c r="G14" i="1"/>
  <c r="A17" i="1"/>
  <c r="B16" i="1"/>
  <c r="C16" i="1" s="1"/>
  <c r="D16" i="1" l="1"/>
  <c r="F16" i="1" s="1"/>
  <c r="E15" i="1"/>
  <c r="H15" i="1" s="1"/>
  <c r="A18" i="1"/>
  <c r="B17" i="1"/>
  <c r="C17" i="1" s="1"/>
  <c r="G15" i="1" l="1"/>
  <c r="E16" i="1"/>
  <c r="H16" i="1" s="1"/>
  <c r="A19" i="1"/>
  <c r="B18" i="1"/>
  <c r="C18" i="1" s="1"/>
  <c r="D17" i="1"/>
  <c r="F17" i="1" s="1"/>
  <c r="G16" i="1" l="1"/>
  <c r="E17" i="1"/>
  <c r="H17" i="1" s="1"/>
  <c r="D18" i="1"/>
  <c r="F18" i="1" s="1"/>
  <c r="A20" i="1"/>
  <c r="B19" i="1"/>
  <c r="C19" i="1" s="1"/>
  <c r="G17" i="1" l="1"/>
  <c r="D19" i="1"/>
  <c r="F19" i="1" s="1"/>
  <c r="A21" i="1"/>
  <c r="B20" i="1"/>
  <c r="C20" i="1" s="1"/>
  <c r="E18" i="1"/>
  <c r="H18" i="1" s="1"/>
  <c r="D20" i="1" l="1"/>
  <c r="F20" i="1" s="1"/>
  <c r="A22" i="1"/>
  <c r="B21" i="1"/>
  <c r="C21" i="1" s="1"/>
  <c r="G18" i="1"/>
  <c r="E19" i="1"/>
  <c r="H19" i="1" s="1"/>
  <c r="G19" i="1" l="1"/>
  <c r="D21" i="1"/>
  <c r="F21" i="1" s="1"/>
  <c r="A23" i="1"/>
  <c r="B22" i="1"/>
  <c r="C22" i="1" s="1"/>
  <c r="E20" i="1"/>
  <c r="H20" i="1" s="1"/>
  <c r="A24" i="1" l="1"/>
  <c r="B23" i="1"/>
  <c r="C23" i="1" s="1"/>
  <c r="D22" i="1"/>
  <c r="F22" i="1" s="1"/>
  <c r="G20" i="1"/>
  <c r="E21" i="1"/>
  <c r="H21" i="1" s="1"/>
  <c r="G21" i="1" l="1"/>
  <c r="E22" i="1"/>
  <c r="H22" i="1" s="1"/>
  <c r="D23" i="1"/>
  <c r="F23" i="1" s="1"/>
  <c r="A25" i="1"/>
  <c r="B24" i="1"/>
  <c r="C24" i="1" s="1"/>
  <c r="G22" i="1" l="1"/>
  <c r="A26" i="1"/>
  <c r="B25" i="1"/>
  <c r="C25" i="1" s="1"/>
  <c r="D24" i="1"/>
  <c r="F24" i="1" s="1"/>
  <c r="E23" i="1"/>
  <c r="H23" i="1" s="1"/>
  <c r="G23" i="1" l="1"/>
  <c r="E24" i="1"/>
  <c r="H24" i="1" s="1"/>
  <c r="D25" i="1"/>
  <c r="F25" i="1" s="1"/>
  <c r="A27" i="1"/>
  <c r="B26" i="1"/>
  <c r="C26" i="1" s="1"/>
  <c r="E25" i="1" l="1"/>
  <c r="H25" i="1" s="1"/>
  <c r="D26" i="1"/>
  <c r="F26" i="1" s="1"/>
  <c r="G24" i="1"/>
  <c r="A28" i="1"/>
  <c r="B27" i="1"/>
  <c r="C27" i="1" s="1"/>
  <c r="G25" i="1" l="1"/>
  <c r="D27" i="1"/>
  <c r="F27" i="1" s="1"/>
  <c r="A29" i="1"/>
  <c r="B28" i="1"/>
  <c r="C28" i="1" s="1"/>
  <c r="E26" i="1"/>
  <c r="H26" i="1" s="1"/>
  <c r="A30" i="1" l="1"/>
  <c r="B29" i="1"/>
  <c r="C29" i="1" s="1"/>
  <c r="D28" i="1"/>
  <c r="F28" i="1" s="1"/>
  <c r="G26" i="1"/>
  <c r="E27" i="1"/>
  <c r="H27" i="1" s="1"/>
  <c r="G27" i="1" l="1"/>
  <c r="E28" i="1"/>
  <c r="H28" i="1" s="1"/>
  <c r="D29" i="1"/>
  <c r="F29" i="1" s="1"/>
  <c r="A31" i="1"/>
  <c r="B30" i="1"/>
  <c r="C30" i="1" s="1"/>
  <c r="E29" i="1" l="1"/>
  <c r="H29" i="1" s="1"/>
  <c r="D30" i="1"/>
  <c r="F30" i="1" s="1"/>
  <c r="G28" i="1"/>
  <c r="A32" i="1"/>
  <c r="B31" i="1"/>
  <c r="C31" i="1" s="1"/>
  <c r="G29" i="1" l="1"/>
  <c r="D31" i="1"/>
  <c r="F31" i="1" s="1"/>
  <c r="A33" i="1"/>
  <c r="B32" i="1"/>
  <c r="C32" i="1" s="1"/>
  <c r="D32" i="1" s="1"/>
  <c r="E30" i="1"/>
  <c r="H30" i="1" s="1"/>
  <c r="E32" i="1" l="1"/>
  <c r="F32" i="1"/>
  <c r="A34" i="1"/>
  <c r="B33" i="1"/>
  <c r="C33" i="1" s="1"/>
  <c r="D33" i="1" s="1"/>
  <c r="G30" i="1"/>
  <c r="E31" i="1"/>
  <c r="H31" i="1" s="1"/>
  <c r="G31" i="1" l="1"/>
  <c r="G32" i="1"/>
  <c r="E33" i="1"/>
  <c r="F33" i="1"/>
  <c r="A35" i="1"/>
  <c r="B34" i="1"/>
  <c r="C34" i="1" s="1"/>
  <c r="D34" i="1" s="1"/>
  <c r="H32" i="1"/>
  <c r="G33" i="1" l="1"/>
  <c r="H33" i="1"/>
  <c r="A36" i="1"/>
  <c r="B35" i="1"/>
  <c r="C35" i="1" s="1"/>
  <c r="E34" i="1"/>
  <c r="F34" i="1"/>
  <c r="H34" i="1" l="1"/>
  <c r="G34" i="1"/>
  <c r="D35" i="1"/>
  <c r="F35" i="1" s="1"/>
  <c r="A37" i="1"/>
  <c r="B36" i="1"/>
  <c r="C36" i="1" s="1"/>
  <c r="E35" i="1" l="1"/>
  <c r="H35" i="1" s="1"/>
  <c r="D36" i="1"/>
  <c r="F36" i="1" s="1"/>
  <c r="A38" i="1"/>
  <c r="B37" i="1"/>
  <c r="C37" i="1" s="1"/>
  <c r="G35" i="1" l="1"/>
  <c r="E36" i="1"/>
  <c r="H36" i="1" s="1"/>
  <c r="D37" i="1"/>
  <c r="A39" i="1"/>
  <c r="B38" i="1"/>
  <c r="C38" i="1" s="1"/>
  <c r="B39" i="1" l="1"/>
  <c r="C39" i="1" s="1"/>
  <c r="D39" i="1" s="1"/>
  <c r="A40" i="1"/>
  <c r="E37" i="1"/>
  <c r="H37" i="1" s="1"/>
  <c r="D38" i="1"/>
  <c r="G36" i="1"/>
  <c r="B40" i="1" l="1"/>
  <c r="C40" i="1" s="1"/>
  <c r="A41" i="1"/>
  <c r="E39" i="1"/>
  <c r="H39" i="1" s="1"/>
  <c r="E38" i="1"/>
  <c r="H38" i="1" s="1"/>
  <c r="G37" i="1"/>
  <c r="D40" i="1" l="1"/>
  <c r="A42" i="1"/>
  <c r="B41" i="1"/>
  <c r="C41" i="1" s="1"/>
  <c r="G39" i="1"/>
  <c r="G38" i="1"/>
  <c r="D41" i="1" l="1"/>
  <c r="F41" i="1" s="1"/>
  <c r="B42" i="1"/>
  <c r="C42" i="1" s="1"/>
  <c r="A43" i="1"/>
  <c r="E40" i="1"/>
  <c r="H40" i="1" s="1"/>
  <c r="A44" i="1" l="1"/>
  <c r="B43" i="1"/>
  <c r="C43" i="1" s="1"/>
  <c r="D42" i="1"/>
  <c r="F42" i="1" s="1"/>
  <c r="G40" i="1"/>
  <c r="E41" i="1"/>
  <c r="H41" i="1" s="1"/>
  <c r="G41" i="1"/>
  <c r="A45" i="1" l="1"/>
  <c r="B45" i="1" s="1"/>
  <c r="C45" i="1" s="1"/>
  <c r="B44" i="1"/>
  <c r="C44" i="1" s="1"/>
  <c r="E42" i="1"/>
  <c r="H42" i="1" s="1"/>
  <c r="D43" i="1"/>
  <c r="F43" i="1" s="1"/>
  <c r="D45" i="1" l="1"/>
  <c r="F45" i="1" s="1"/>
  <c r="G42" i="1"/>
  <c r="E43" i="1"/>
  <c r="H43" i="1" s="1"/>
  <c r="D44" i="1"/>
  <c r="F44" i="1" s="1"/>
  <c r="E44" i="1" l="1"/>
  <c r="H44" i="1" s="1"/>
  <c r="E45" i="1"/>
  <c r="H45" i="1" s="1"/>
  <c r="G43" i="1"/>
  <c r="G44" i="1" l="1"/>
  <c r="G45" i="1"/>
</calcChain>
</file>

<file path=xl/sharedStrings.xml><?xml version="1.0" encoding="utf-8"?>
<sst xmlns="http://schemas.openxmlformats.org/spreadsheetml/2006/main" count="62" uniqueCount="45">
  <si>
    <t>Requested speed</t>
  </si>
  <si>
    <t>Input clock</t>
  </si>
  <si>
    <t>Output speed</t>
  </si>
  <si>
    <t>Pixel clock div</t>
  </si>
  <si>
    <t>Pixel clock</t>
  </si>
  <si>
    <t>CLINAME</t>
  </si>
  <si>
    <t>DATETIME</t>
  </si>
  <si>
    <t>DONEBY</t>
  </si>
  <si>
    <t>IPADDRESS</t>
  </si>
  <si>
    <t>APPVER</t>
  </si>
  <si>
    <t>RANDOM</t>
  </si>
  <si>
    <t>CHECKSUM</t>
  </si>
  <si>
    <t>፥፾ፓ፼፱ᎃᎃ፹፶፹፵፴</t>
  </si>
  <si>
    <t>ፃጿፁፈጿፂፀፂፀጰጰፁፀፊፀፇፑ፝ጰጸፗ፝፤ጻፁፊፀጹ</t>
  </si>
  <si>
    <t>፣፤፬፝፱ᎂᎄ፹፾፱</t>
  </si>
  <si>
    <t>ፗ፞ፒፓ፧፜ፀፂፈፈ</t>
  </si>
  <si>
    <t>ፆጾፀጾፀጾፀ</t>
  </si>
  <si>
    <t>ፄፂፉፃ</t>
  </si>
  <si>
    <t>MHz</t>
  </si>
  <si>
    <t>Pix clock target</t>
  </si>
  <si>
    <t>Line time</t>
  </si>
  <si>
    <t>Minimum Line length</t>
  </si>
  <si>
    <t>Max frame rate</t>
  </si>
  <si>
    <t>Minimum FL</t>
  </si>
  <si>
    <t>Requested speed (Mbps)</t>
  </si>
  <si>
    <t>FW PLL Multiplier</t>
  </si>
  <si>
    <t>Output speed (Mbps)</t>
  </si>
  <si>
    <t>Pixel clock (MHz)</t>
  </si>
  <si>
    <t>Line time (us)</t>
  </si>
  <si>
    <t>Mbps</t>
  </si>
  <si>
    <t>Minimum line time</t>
  </si>
  <si>
    <t>Minimum line length</t>
  </si>
  <si>
    <t>FW PLL multiplier</t>
  </si>
  <si>
    <t>-</t>
  </si>
  <si>
    <t>us</t>
  </si>
  <si>
    <t>Image height</t>
  </si>
  <si>
    <t>Minimum frame length</t>
  </si>
  <si>
    <t>Maximum frame rate</t>
  </si>
  <si>
    <t>Frame length</t>
  </si>
  <si>
    <t>Frame rate</t>
  </si>
  <si>
    <t>fps</t>
  </si>
  <si>
    <t>FW offset</t>
  </si>
  <si>
    <t>Lines</t>
  </si>
  <si>
    <t>Line length</t>
  </si>
  <si>
    <t>Requested frame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</si>
</sst>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5" fillId="3" borderId="1" applyNumberFormat="0" applyAlignment="0" applyProtection="0"/>
    <xf numFmtId="0" fontId="6" fillId="0" borderId="2" applyNumberFormat="0" applyFill="0" applyAlignment="0" applyProtection="0"/>
    <xf numFmtId="0" fontId="4" fillId="4" borderId="3" applyNumberFormat="0" applyFont="0" applyAlignment="0" applyProtection="0"/>
  </cellStyleXfs>
  <cellXfs count="11">
    <xf numFmtId="0" fontId="0" fillId="0" borderId="0" xfId="0"/>
    <xf numFmtId="0" fontId="1" fillId="2" borderId="1" xfId="1"/>
    <xf numFmtId="1" fontId="0" fillId="0" borderId="0" xfId="0" applyNumberFormat="1"/>
    <xf numFmtId="2" fontId="0" fillId="0" borderId="0" xfId="0" applyNumberFormat="1"/>
    <xf numFmtId="0" fontId="2" fillId="0" borderId="0" xfId="2"/>
    <xf numFmtId="164" fontId="0" fillId="0" borderId="0" xfId="0" applyNumberFormat="1"/>
    <xf numFmtId="0" fontId="0" fillId="4" borderId="3" xfId="5" applyFont="1"/>
    <xf numFmtId="0" fontId="5" fillId="3" borderId="1" xfId="3"/>
    <xf numFmtId="164" fontId="0" fillId="4" borderId="3" xfId="5" applyNumberFormat="1" applyFont="1"/>
    <xf numFmtId="164" fontId="5" fillId="3" borderId="1" xfId="3" applyNumberFormat="1"/>
    <xf numFmtId="0" fontId="6" fillId="0" borderId="2" xfId="4"/>
  </cellXfs>
  <cellStyles count="6">
    <cellStyle name="Calculation" xfId="3" builtinId="22"/>
    <cellStyle name="Explanatory Text" xfId="2" builtinId="53"/>
    <cellStyle name="Input" xfId="1" builtinId="20"/>
    <cellStyle name="Linked Cell" xfId="4" builtinId="24"/>
    <cellStyle name="Normal" xfId="0" builtinId="0"/>
    <cellStyle name="Note" xfId="5" builtinId="10"/>
  </cellStyles>
  <dxfs count="12">
    <dxf>
      <numFmt numFmtId="164" formatCode="0.0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27</xdr:col>
      <xdr:colOff>258358</xdr:colOff>
      <xdr:row>53</xdr:row>
      <xdr:rowOff>37000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A5DD59-9359-465B-B16A-14EBC73F4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4641286" y="1646464"/>
          <a:ext cx="12314286" cy="8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EA98C-4C8F-4F4C-B22B-60CAF6EF1C96}" name="Table1" displayName="Table1" ref="A1:H45" totalsRowShown="0">
  <autoFilter ref="A1:H45" xr:uid="{B3598CAC-728E-4F12-B4C2-9CBC31B77195}"/>
  <tableColumns count="8">
    <tableColumn id="2" xr3:uid="{153DDB75-0DD8-4B7F-8A51-1979D8FA7BDD}" name="Requested speed (Mbps)" dataCellStyle="Input">
      <calculatedColumnFormula>A1-25</calculatedColumnFormula>
    </tableColumn>
    <tableColumn id="3" xr3:uid="{489B83D7-E659-46F1-A31A-7D16BF6C84F8}" name="FW PLL Multiplier" dataDxfId="6">
      <calculatedColumnFormula>ROUND(Table1[[#This Row],[Requested speed (Mbps)]]/Input_clock, 0)</calculatedColumnFormula>
    </tableColumn>
    <tableColumn id="4" xr3:uid="{9FD09339-00D1-4842-9286-532F592F6D11}" name="Output speed (Mbps)" dataDxfId="5">
      <calculatedColumnFormula>Input_clock*Table1[[#This Row],[FW PLL Multiplier]]</calculatedColumnFormula>
    </tableColumn>
    <tableColumn id="5" xr3:uid="{60FA96B6-0B52-4658-8397-B7A447B08775}" name="Pixel clock div" dataDxfId="4">
      <calculatedColumnFormula xml:space="preserve"> INT(INT(Table1[[#This Row],[Output speed (Mbps)]]/Pix_clock_target+1.99)/2)*2</calculatedColumnFormula>
    </tableColumn>
    <tableColumn id="6" xr3:uid="{159C0A54-725F-4C91-8F5A-C9247756AFA8}" name="Pixel clock (MHz)" dataDxfId="3">
      <calculatedColumnFormula>Table1[[#This Row],[Output speed (Mbps)]]/Table1[[#This Row],[Pixel clock div]]</calculatedColumnFormula>
    </tableColumn>
    <tableColumn id="7" xr3:uid="{45D6212D-E1B4-44B3-8C35-7AD114E218F4}" name="Minimum Line length" dataDxfId="2">
      <calculatedColumnFormula>IF(Table1[[#This Row],[Pixel clock div]]=8,1128,1200)</calculatedColumnFormula>
    </tableColumn>
    <tableColumn id="10" xr3:uid="{BF358C4A-C40C-4C1B-A860-A8EF407DE909}" name="Line time (us)" dataDxfId="1">
      <calculatedColumnFormula>Table1[[#This Row],[Minimum Line length]]/Table1[[#This Row],[Pixel clock (MHz)]]</calculatedColumnFormula>
    </tableColumn>
    <tableColumn id="1" xr3:uid="{09DF1037-0F4B-4766-82A7-E498A04DC006}" name="Max frame rate" dataDxfId="0">
      <calculatedColumnFormula>Table1[[#This Row],[Pixel clock (MHz)]]/Table1[[#This Row],[Minimum Line length]]/Minimum_FL*1000000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0880-6707-4708-B601-81DF42BD3FE2}">
  <dimension ref="A1:G18"/>
  <sheetViews>
    <sheetView tabSelected="1" workbookViewId="0">
      <selection activeCell="B1" sqref="B1"/>
    </sheetView>
  </sheetViews>
  <sheetFormatPr defaultRowHeight="15" x14ac:dyDescent="0.25"/>
  <cols>
    <col min="1" max="1" width="23.5703125" bestFit="1" customWidth="1"/>
    <col min="5" max="5" width="22.140625" bestFit="1" customWidth="1"/>
  </cols>
  <sheetData>
    <row r="1" spans="1:7" x14ac:dyDescent="0.25">
      <c r="A1" t="s">
        <v>1</v>
      </c>
      <c r="B1" s="1">
        <v>12</v>
      </c>
      <c r="C1" s="4" t="s">
        <v>18</v>
      </c>
    </row>
    <row r="2" spans="1:7" x14ac:dyDescent="0.25">
      <c r="A2" t="s">
        <v>0</v>
      </c>
      <c r="B2" s="1">
        <v>1200</v>
      </c>
      <c r="C2" s="4" t="s">
        <v>29</v>
      </c>
    </row>
    <row r="3" spans="1:7" x14ac:dyDescent="0.25">
      <c r="A3" s="4" t="s">
        <v>32</v>
      </c>
      <c r="B3" s="6">
        <f>ROUND(Requested_speed/Input__clock, 0)</f>
        <v>100</v>
      </c>
      <c r="C3" s="4" t="s">
        <v>33</v>
      </c>
    </row>
    <row r="4" spans="1:7" ht="15.75" thickBot="1" x14ac:dyDescent="0.3">
      <c r="A4" s="10" t="s">
        <v>2</v>
      </c>
      <c r="B4" s="7">
        <f>Input__clock*FW_PLL_multiplier</f>
        <v>1200</v>
      </c>
      <c r="C4" s="4" t="s">
        <v>29</v>
      </c>
    </row>
    <row r="5" spans="1:7" ht="15.75" thickTop="1" x14ac:dyDescent="0.25">
      <c r="A5" s="4" t="s">
        <v>3</v>
      </c>
      <c r="B5" s="6">
        <f>IF(Output_speed&gt;900,8,6)</f>
        <v>8</v>
      </c>
      <c r="C5" s="4" t="s">
        <v>33</v>
      </c>
    </row>
    <row r="6" spans="1:7" ht="15.75" thickBot="1" x14ac:dyDescent="0.3">
      <c r="A6" s="10" t="s">
        <v>4</v>
      </c>
      <c r="B6" s="7">
        <f>Output_speed/Pixel_clock_div</f>
        <v>150</v>
      </c>
      <c r="C6" s="4" t="s">
        <v>18</v>
      </c>
    </row>
    <row r="7" spans="1:7" ht="15.75" thickTop="1" x14ac:dyDescent="0.25"/>
    <row r="8" spans="1:7" x14ac:dyDescent="0.25">
      <c r="A8" t="s">
        <v>43</v>
      </c>
      <c r="B8" s="1">
        <v>1128</v>
      </c>
      <c r="C8" s="4" t="s">
        <v>4</v>
      </c>
      <c r="E8" s="4" t="s">
        <v>31</v>
      </c>
      <c r="F8" s="6">
        <f>IF(Output_speed&gt;900,1128,1200)</f>
        <v>1128</v>
      </c>
      <c r="G8" s="4" t="s">
        <v>4</v>
      </c>
    </row>
    <row r="9" spans="1:7" x14ac:dyDescent="0.25">
      <c r="A9" s="4" t="s">
        <v>20</v>
      </c>
      <c r="B9" s="7">
        <f>Line_length/Pixel_clock</f>
        <v>7.52</v>
      </c>
      <c r="C9" s="4" t="s">
        <v>34</v>
      </c>
      <c r="E9" s="4" t="s">
        <v>30</v>
      </c>
      <c r="F9" s="6">
        <f>Minimum_line_length/Pixel_clock</f>
        <v>7.52</v>
      </c>
      <c r="G9" s="4" t="s">
        <v>34</v>
      </c>
    </row>
    <row r="10" spans="1:7" x14ac:dyDescent="0.25">
      <c r="A10" t="s">
        <v>35</v>
      </c>
      <c r="B10" s="1">
        <v>604</v>
      </c>
      <c r="C10" s="4" t="s">
        <v>42</v>
      </c>
    </row>
    <row r="11" spans="1:7" x14ac:dyDescent="0.25">
      <c r="A11" s="4" t="s">
        <v>41</v>
      </c>
      <c r="B11" s="6">
        <f>31+ROUNDUP(45*Minimum_line_length/Line_length,0)</f>
        <v>76</v>
      </c>
      <c r="C11" s="4" t="s">
        <v>42</v>
      </c>
    </row>
    <row r="13" spans="1:7" x14ac:dyDescent="0.25">
      <c r="A13" t="s">
        <v>38</v>
      </c>
      <c r="B13" s="1">
        <v>2216</v>
      </c>
      <c r="C13" s="4" t="s">
        <v>42</v>
      </c>
      <c r="E13" s="4" t="s">
        <v>36</v>
      </c>
      <c r="F13" s="6">
        <f>Image_height+FW_offset</f>
        <v>680</v>
      </c>
      <c r="G13" s="4" t="s">
        <v>42</v>
      </c>
    </row>
    <row r="14" spans="1:7" ht="15.75" thickBot="1" x14ac:dyDescent="0.3">
      <c r="A14" s="10" t="s">
        <v>39</v>
      </c>
      <c r="B14" s="9">
        <f>1000000/Frame_length/Line_time</f>
        <v>60.008449189645901</v>
      </c>
      <c r="C14" s="4" t="s">
        <v>40</v>
      </c>
      <c r="E14" s="4" t="s">
        <v>37</v>
      </c>
      <c r="F14" s="8">
        <f>1000000/Minimum_frame_length/Line_time</f>
        <v>195.55694618272841</v>
      </c>
      <c r="G14" s="4" t="s">
        <v>40</v>
      </c>
    </row>
    <row r="15" spans="1:7" ht="15.75" thickTop="1" x14ac:dyDescent="0.25"/>
    <row r="16" spans="1:7" x14ac:dyDescent="0.25">
      <c r="A16" t="s">
        <v>44</v>
      </c>
      <c r="B16" s="1">
        <v>30</v>
      </c>
      <c r="C16" t="s">
        <v>40</v>
      </c>
    </row>
    <row r="17" spans="1:3" ht="15.75" thickBot="1" x14ac:dyDescent="0.3">
      <c r="A17" s="10" t="s">
        <v>38</v>
      </c>
      <c r="B17" s="7">
        <f>INT(1000000/Requested_frame_rate/Line_time)</f>
        <v>4432</v>
      </c>
      <c r="C17" t="s">
        <v>42</v>
      </c>
    </row>
    <row r="18" spans="1:3" ht="15.75" thickTop="1" x14ac:dyDescent="0.25"/>
  </sheetData>
  <conditionalFormatting sqref="B13">
    <cfRule type="cellIs" dxfId="11" priority="4" operator="lessThan">
      <formula>$F$13</formula>
    </cfRule>
  </conditionalFormatting>
  <conditionalFormatting sqref="B8">
    <cfRule type="cellIs" dxfId="10" priority="3" operator="lessThan">
      <formula>$F$8</formula>
    </cfRule>
  </conditionalFormatting>
  <conditionalFormatting sqref="B17">
    <cfRule type="cellIs" dxfId="9" priority="2" operator="lessThan">
      <formula>$F$13</formula>
    </cfRule>
  </conditionalFormatting>
  <conditionalFormatting sqref="B16">
    <cfRule type="cellIs" dxfId="8" priority="1" operator="greaterThan">
      <formula>$F$14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45D-EA94-4CD6-8C6F-8990B5CD4C33}">
  <dimension ref="A1:K45"/>
  <sheetViews>
    <sheetView zoomScale="55" zoomScaleNormal="55" workbookViewId="0">
      <selection activeCell="I1" sqref="I1:K3"/>
    </sheetView>
  </sheetViews>
  <sheetFormatPr defaultRowHeight="15" x14ac:dyDescent="0.25"/>
  <cols>
    <col min="1" max="1" width="33.5703125" bestFit="1" customWidth="1"/>
    <col min="2" max="2" width="24.85546875" bestFit="1" customWidth="1"/>
    <col min="3" max="3" width="28.85546875" bestFit="1" customWidth="1"/>
    <col min="4" max="4" width="21.42578125" bestFit="1" customWidth="1"/>
    <col min="5" max="5" width="24.42578125" bestFit="1" customWidth="1"/>
    <col min="6" max="6" width="28.28515625" customWidth="1"/>
    <col min="7" max="7" width="15.28515625" bestFit="1" customWidth="1"/>
    <col min="8" max="8" width="21.7109375" customWidth="1"/>
    <col min="9" max="9" width="21" customWidth="1"/>
    <col min="10" max="10" width="19.28515625" customWidth="1"/>
    <col min="11" max="11" width="14.42578125" bestFit="1" customWidth="1"/>
  </cols>
  <sheetData>
    <row r="1" spans="1:11" ht="39.950000000000003" customHeight="1" x14ac:dyDescent="0.25">
      <c r="A1" t="s">
        <v>24</v>
      </c>
      <c r="B1" t="s">
        <v>25</v>
      </c>
      <c r="C1" t="s">
        <v>26</v>
      </c>
      <c r="D1" t="s">
        <v>3</v>
      </c>
      <c r="E1" t="s">
        <v>27</v>
      </c>
      <c r="F1" t="s">
        <v>21</v>
      </c>
      <c r="G1" t="s">
        <v>28</v>
      </c>
      <c r="H1" t="s">
        <v>22</v>
      </c>
      <c r="I1" s="4" t="s">
        <v>1</v>
      </c>
      <c r="J1" s="1">
        <v>12</v>
      </c>
      <c r="K1" s="4" t="s">
        <v>18</v>
      </c>
    </row>
    <row r="2" spans="1:11" x14ac:dyDescent="0.25">
      <c r="A2" s="1">
        <f>INT(1200/Input_clock)*Input_clock</f>
        <v>1200</v>
      </c>
      <c r="B2">
        <f>ROUND(Table1[[#This Row],[Requested speed (Mbps)]]/Input_clock, 0)</f>
        <v>100</v>
      </c>
      <c r="C2">
        <f>Input_clock*Table1[[#This Row],[FW PLL Multiplier]]</f>
        <v>1200</v>
      </c>
      <c r="D2">
        <f xml:space="preserve"> INT(INT(Table1[[#This Row],[Output speed (Mbps)]]/Pix_clock_target+1.99)/2)*2</f>
        <v>8</v>
      </c>
      <c r="E2">
        <f>Table1[[#This Row],[Output speed (Mbps)]]/Table1[[#This Row],[Pixel clock div]]</f>
        <v>150</v>
      </c>
      <c r="F2" s="2">
        <f>IF(Table1[[#This Row],[Pixel clock div]]=8,1128,1200)</f>
        <v>1128</v>
      </c>
      <c r="G2" s="3">
        <f>Table1[[#This Row],[Minimum Line length]]/Table1[[#This Row],[Pixel clock (MHz)]]</f>
        <v>7.52</v>
      </c>
      <c r="H2" s="5">
        <f>Table1[[#This Row],[Pixel clock (MHz)]]/Table1[[#This Row],[Minimum Line length]]/Minimum_FL*1000000</f>
        <v>186.76786994979679</v>
      </c>
      <c r="I2" s="4" t="s">
        <v>19</v>
      </c>
      <c r="J2" s="1">
        <v>150</v>
      </c>
      <c r="K2" s="4" t="s">
        <v>18</v>
      </c>
    </row>
    <row r="3" spans="1:11" x14ac:dyDescent="0.25">
      <c r="A3" s="1">
        <f t="shared" ref="A3:A45" si="0">A2-Input_clock</f>
        <v>1188</v>
      </c>
      <c r="B3">
        <f>ROUND(Table1[[#This Row],[Requested speed (Mbps)]]/Input_clock, 0)</f>
        <v>99</v>
      </c>
      <c r="C3">
        <f>Input_clock*Table1[[#This Row],[FW PLL Multiplier]]</f>
        <v>1188</v>
      </c>
      <c r="D3">
        <f xml:space="preserve"> INT(INT(Table1[[#This Row],[Output speed (Mbps)]]/Pix_clock_target+1.99)/2)*2</f>
        <v>8</v>
      </c>
      <c r="E3">
        <f>Table1[[#This Row],[Output speed (Mbps)]]/Table1[[#This Row],[Pixel clock div]]</f>
        <v>148.5</v>
      </c>
      <c r="F3" s="2">
        <f>IF(Table1[[#This Row],[Pixel clock div]]=8,1128,1200)</f>
        <v>1128</v>
      </c>
      <c r="G3" s="3">
        <f>Table1[[#This Row],[Minimum Line length]]/Table1[[#This Row],[Pixel clock (MHz)]]</f>
        <v>7.595959595959596</v>
      </c>
      <c r="H3" s="5">
        <f>Table1[[#This Row],[Pixel clock (MHz)]]/Table1[[#This Row],[Minimum Line length]]/Minimum_FL*1000000</f>
        <v>184.90019125029883</v>
      </c>
      <c r="I3" s="4" t="s">
        <v>23</v>
      </c>
      <c r="J3" s="1">
        <v>712</v>
      </c>
      <c r="K3" s="4"/>
    </row>
    <row r="4" spans="1:11" x14ac:dyDescent="0.25">
      <c r="A4" s="1">
        <f t="shared" si="0"/>
        <v>1176</v>
      </c>
      <c r="B4">
        <f>ROUND(Table1[[#This Row],[Requested speed (Mbps)]]/Input_clock, 0)</f>
        <v>98</v>
      </c>
      <c r="C4">
        <f>Input_clock*Table1[[#This Row],[FW PLL Multiplier]]</f>
        <v>1176</v>
      </c>
      <c r="D4">
        <f xml:space="preserve"> INT(INT(Table1[[#This Row],[Output speed (Mbps)]]/Pix_clock_target+1.99)/2)*2</f>
        <v>8</v>
      </c>
      <c r="E4">
        <f>Table1[[#This Row],[Output speed (Mbps)]]/Table1[[#This Row],[Pixel clock div]]</f>
        <v>147</v>
      </c>
      <c r="F4" s="2">
        <f>IF(Table1[[#This Row],[Pixel clock div]]=8,1128,1200)</f>
        <v>1128</v>
      </c>
      <c r="G4" s="3">
        <f>Table1[[#This Row],[Minimum Line length]]/Table1[[#This Row],[Pixel clock (MHz)]]</f>
        <v>7.6734693877551017</v>
      </c>
      <c r="H4" s="5">
        <f>Table1[[#This Row],[Pixel clock (MHz)]]/Table1[[#This Row],[Minimum Line length]]/Minimum_FL*1000000</f>
        <v>183.03251255080087</v>
      </c>
    </row>
    <row r="5" spans="1:11" x14ac:dyDescent="0.25">
      <c r="A5" s="1">
        <f t="shared" si="0"/>
        <v>1164</v>
      </c>
      <c r="B5">
        <f>ROUND(Table1[[#This Row],[Requested speed (Mbps)]]/Input_clock, 0)</f>
        <v>97</v>
      </c>
      <c r="C5">
        <f>Input_clock*Table1[[#This Row],[FW PLL Multiplier]]</f>
        <v>1164</v>
      </c>
      <c r="D5">
        <f xml:space="preserve"> INT(INT(Table1[[#This Row],[Output speed (Mbps)]]/Pix_clock_target+1.99)/2)*2</f>
        <v>8</v>
      </c>
      <c r="E5">
        <f>Table1[[#This Row],[Output speed (Mbps)]]/Table1[[#This Row],[Pixel clock div]]</f>
        <v>145.5</v>
      </c>
      <c r="F5" s="2">
        <f>IF(Table1[[#This Row],[Pixel clock div]]=8,1128,1200)</f>
        <v>1128</v>
      </c>
      <c r="G5" s="3">
        <f>Table1[[#This Row],[Minimum Line length]]/Table1[[#This Row],[Pixel clock (MHz)]]</f>
        <v>7.7525773195876289</v>
      </c>
      <c r="H5" s="5">
        <f>Table1[[#This Row],[Pixel clock (MHz)]]/Table1[[#This Row],[Minimum Line length]]/Minimum_FL*1000000</f>
        <v>181.16483385130289</v>
      </c>
    </row>
    <row r="6" spans="1:11" x14ac:dyDescent="0.25">
      <c r="A6" s="1">
        <f t="shared" si="0"/>
        <v>1152</v>
      </c>
      <c r="B6">
        <f>ROUND(Table1[[#This Row],[Requested speed (Mbps)]]/Input_clock, 0)</f>
        <v>96</v>
      </c>
      <c r="C6">
        <f>Input_clock*Table1[[#This Row],[FW PLL Multiplier]]</f>
        <v>1152</v>
      </c>
      <c r="D6">
        <f xml:space="preserve"> INT(INT(Table1[[#This Row],[Output speed (Mbps)]]/Pix_clock_target+1.99)/2)*2</f>
        <v>8</v>
      </c>
      <c r="E6">
        <f>Table1[[#This Row],[Output speed (Mbps)]]/Table1[[#This Row],[Pixel clock div]]</f>
        <v>144</v>
      </c>
      <c r="F6" s="2">
        <f>IF(Table1[[#This Row],[Pixel clock div]]=8,1128,1200)</f>
        <v>1128</v>
      </c>
      <c r="G6" s="3">
        <f>Table1[[#This Row],[Minimum Line length]]/Table1[[#This Row],[Pixel clock (MHz)]]</f>
        <v>7.833333333333333</v>
      </c>
      <c r="H6" s="5">
        <f>Table1[[#This Row],[Pixel clock (MHz)]]/Table1[[#This Row],[Minimum Line length]]/Minimum_FL*1000000</f>
        <v>179.2971551518049</v>
      </c>
    </row>
    <row r="7" spans="1:11" x14ac:dyDescent="0.25">
      <c r="A7" s="1">
        <f t="shared" si="0"/>
        <v>1140</v>
      </c>
      <c r="B7">
        <f>ROUND(Table1[[#This Row],[Requested speed (Mbps)]]/Input_clock, 0)</f>
        <v>95</v>
      </c>
      <c r="C7">
        <f>Input_clock*Table1[[#This Row],[FW PLL Multiplier]]</f>
        <v>1140</v>
      </c>
      <c r="D7">
        <f xml:space="preserve"> INT(INT(Table1[[#This Row],[Output speed (Mbps)]]/Pix_clock_target+1.99)/2)*2</f>
        <v>8</v>
      </c>
      <c r="E7">
        <f>Table1[[#This Row],[Output speed (Mbps)]]/Table1[[#This Row],[Pixel clock div]]</f>
        <v>142.5</v>
      </c>
      <c r="F7" s="2">
        <f>IF(Table1[[#This Row],[Pixel clock div]]=8,1128,1200)</f>
        <v>1128</v>
      </c>
      <c r="G7" s="3">
        <f>Table1[[#This Row],[Minimum Line length]]/Table1[[#This Row],[Pixel clock (MHz)]]</f>
        <v>7.9157894736842103</v>
      </c>
      <c r="H7" s="5">
        <f>Table1[[#This Row],[Pixel clock (MHz)]]/Table1[[#This Row],[Minimum Line length]]/Minimum_FL*1000000</f>
        <v>177.42947645230697</v>
      </c>
    </row>
    <row r="8" spans="1:11" x14ac:dyDescent="0.25">
      <c r="A8" s="1">
        <f t="shared" si="0"/>
        <v>1128</v>
      </c>
      <c r="B8">
        <f>ROUND(Table1[[#This Row],[Requested speed (Mbps)]]/Input_clock, 0)</f>
        <v>94</v>
      </c>
      <c r="C8">
        <f>Input_clock*Table1[[#This Row],[FW PLL Multiplier]]</f>
        <v>1128</v>
      </c>
      <c r="D8">
        <f xml:space="preserve"> INT(INT(Table1[[#This Row],[Output speed (Mbps)]]/Pix_clock_target+1.99)/2)*2</f>
        <v>8</v>
      </c>
      <c r="E8">
        <f>Table1[[#This Row],[Output speed (Mbps)]]/Table1[[#This Row],[Pixel clock div]]</f>
        <v>141</v>
      </c>
      <c r="F8" s="2">
        <f>IF(Table1[[#This Row],[Pixel clock div]]=8,1128,1200)</f>
        <v>1128</v>
      </c>
      <c r="G8" s="3">
        <f>Table1[[#This Row],[Minimum Line length]]/Table1[[#This Row],[Pixel clock (MHz)]]</f>
        <v>8</v>
      </c>
      <c r="H8" s="5">
        <f>Table1[[#This Row],[Pixel clock (MHz)]]/Table1[[#This Row],[Minimum Line length]]/Minimum_FL*1000000</f>
        <v>175.56179775280899</v>
      </c>
    </row>
    <row r="9" spans="1:11" x14ac:dyDescent="0.25">
      <c r="A9" s="1">
        <f t="shared" si="0"/>
        <v>1116</v>
      </c>
      <c r="B9">
        <f>ROUND(Table1[[#This Row],[Requested speed (Mbps)]]/Input_clock, 0)</f>
        <v>93</v>
      </c>
      <c r="C9">
        <f>Input_clock*Table1[[#This Row],[FW PLL Multiplier]]</f>
        <v>1116</v>
      </c>
      <c r="D9">
        <f xml:space="preserve"> INT(INT(Table1[[#This Row],[Output speed (Mbps)]]/Pix_clock_target+1.99)/2)*2</f>
        <v>8</v>
      </c>
      <c r="E9">
        <f>Table1[[#This Row],[Output speed (Mbps)]]/Table1[[#This Row],[Pixel clock div]]</f>
        <v>139.5</v>
      </c>
      <c r="F9" s="2">
        <f>IF(Table1[[#This Row],[Pixel clock div]]=8,1128,1200)</f>
        <v>1128</v>
      </c>
      <c r="G9" s="3">
        <f>Table1[[#This Row],[Minimum Line length]]/Table1[[#This Row],[Pixel clock (MHz)]]</f>
        <v>8.086021505376344</v>
      </c>
      <c r="H9" s="5">
        <f>Table1[[#This Row],[Pixel clock (MHz)]]/Table1[[#This Row],[Minimum Line length]]/Minimum_FL*1000000</f>
        <v>173.69411905331103</v>
      </c>
    </row>
    <row r="10" spans="1:11" x14ac:dyDescent="0.25">
      <c r="A10" s="1">
        <f t="shared" si="0"/>
        <v>1104</v>
      </c>
      <c r="B10">
        <f>ROUND(Table1[[#This Row],[Requested speed (Mbps)]]/Input_clock, 0)</f>
        <v>92</v>
      </c>
      <c r="C10">
        <f>Input_clock*Table1[[#This Row],[FW PLL Multiplier]]</f>
        <v>1104</v>
      </c>
      <c r="D10">
        <f xml:space="preserve"> INT(INT(Table1[[#This Row],[Output speed (Mbps)]]/Pix_clock_target+1.99)/2)*2</f>
        <v>8</v>
      </c>
      <c r="E10">
        <f>Table1[[#This Row],[Output speed (Mbps)]]/Table1[[#This Row],[Pixel clock div]]</f>
        <v>138</v>
      </c>
      <c r="F10" s="2">
        <f>IF(Table1[[#This Row],[Pixel clock div]]=8,1128,1200)</f>
        <v>1128</v>
      </c>
      <c r="G10" s="3">
        <f>Table1[[#This Row],[Minimum Line length]]/Table1[[#This Row],[Pixel clock (MHz)]]</f>
        <v>8.1739130434782616</v>
      </c>
      <c r="H10" s="5">
        <f>Table1[[#This Row],[Pixel clock (MHz)]]/Table1[[#This Row],[Minimum Line length]]/Minimum_FL*1000000</f>
        <v>171.82644035381304</v>
      </c>
    </row>
    <row r="11" spans="1:11" x14ac:dyDescent="0.25">
      <c r="A11" s="1">
        <f t="shared" si="0"/>
        <v>1092</v>
      </c>
      <c r="B11">
        <f>ROUND(Table1[[#This Row],[Requested speed (Mbps)]]/Input_clock, 0)</f>
        <v>91</v>
      </c>
      <c r="C11">
        <f>Input_clock*Table1[[#This Row],[FW PLL Multiplier]]</f>
        <v>1092</v>
      </c>
      <c r="D11">
        <f xml:space="preserve"> INT(INT(Table1[[#This Row],[Output speed (Mbps)]]/Pix_clock_target+1.99)/2)*2</f>
        <v>8</v>
      </c>
      <c r="E11">
        <f>Table1[[#This Row],[Output speed (Mbps)]]/Table1[[#This Row],[Pixel clock div]]</f>
        <v>136.5</v>
      </c>
      <c r="F11" s="2">
        <f>IF(Table1[[#This Row],[Pixel clock div]]=8,1128,1200)</f>
        <v>1128</v>
      </c>
      <c r="G11" s="3">
        <f>Table1[[#This Row],[Minimum Line length]]/Table1[[#This Row],[Pixel clock (MHz)]]</f>
        <v>8.2637362637362646</v>
      </c>
      <c r="H11" s="5">
        <f>Table1[[#This Row],[Pixel clock (MHz)]]/Table1[[#This Row],[Minimum Line length]]/Minimum_FL*1000000</f>
        <v>169.95876165431508</v>
      </c>
    </row>
    <row r="12" spans="1:11" x14ac:dyDescent="0.25">
      <c r="A12" s="1">
        <f t="shared" si="0"/>
        <v>1080</v>
      </c>
      <c r="B12">
        <f>ROUND(Table1[[#This Row],[Requested speed (Mbps)]]/Input_clock, 0)</f>
        <v>90</v>
      </c>
      <c r="C12">
        <f>Input_clock*Table1[[#This Row],[FW PLL Multiplier]]</f>
        <v>1080</v>
      </c>
      <c r="D12">
        <f xml:space="preserve"> INT(INT(Table1[[#This Row],[Output speed (Mbps)]]/Pix_clock_target+1.99)/2)*2</f>
        <v>8</v>
      </c>
      <c r="E12">
        <f>Table1[[#This Row],[Output speed (Mbps)]]/Table1[[#This Row],[Pixel clock div]]</f>
        <v>135</v>
      </c>
      <c r="F12" s="2">
        <f>IF(Table1[[#This Row],[Pixel clock div]]=8,1128,1200)</f>
        <v>1128</v>
      </c>
      <c r="G12" s="3">
        <f>Table1[[#This Row],[Minimum Line length]]/Table1[[#This Row],[Pixel clock (MHz)]]</f>
        <v>8.3555555555555561</v>
      </c>
      <c r="H12" s="5">
        <f>Table1[[#This Row],[Pixel clock (MHz)]]/Table1[[#This Row],[Minimum Line length]]/Minimum_FL*1000000</f>
        <v>168.09108295481713</v>
      </c>
    </row>
    <row r="13" spans="1:11" x14ac:dyDescent="0.25">
      <c r="A13" s="1">
        <f t="shared" si="0"/>
        <v>1068</v>
      </c>
      <c r="B13">
        <f>ROUND(Table1[[#This Row],[Requested speed (Mbps)]]/Input_clock, 0)</f>
        <v>89</v>
      </c>
      <c r="C13">
        <f>Input_clock*Table1[[#This Row],[FW PLL Multiplier]]</f>
        <v>1068</v>
      </c>
      <c r="D13">
        <f xml:space="preserve"> INT(INT(Table1[[#This Row],[Output speed (Mbps)]]/Pix_clock_target+1.99)/2)*2</f>
        <v>8</v>
      </c>
      <c r="E13">
        <f>Table1[[#This Row],[Output speed (Mbps)]]/Table1[[#This Row],[Pixel clock div]]</f>
        <v>133.5</v>
      </c>
      <c r="F13" s="2">
        <f>IF(Table1[[#This Row],[Pixel clock div]]=8,1128,1200)</f>
        <v>1128</v>
      </c>
      <c r="G13" s="3">
        <f>Table1[[#This Row],[Minimum Line length]]/Table1[[#This Row],[Pixel clock (MHz)]]</f>
        <v>8.4494382022471903</v>
      </c>
      <c r="H13" s="5">
        <f>Table1[[#This Row],[Pixel clock (MHz)]]/Table1[[#This Row],[Minimum Line length]]/Minimum_FL*1000000</f>
        <v>166.22340425531914</v>
      </c>
    </row>
    <row r="14" spans="1:11" x14ac:dyDescent="0.25">
      <c r="A14" s="1">
        <f t="shared" si="0"/>
        <v>1056</v>
      </c>
      <c r="B14">
        <f>ROUND(Table1[[#This Row],[Requested speed (Mbps)]]/Input_clock, 0)</f>
        <v>88</v>
      </c>
      <c r="C14">
        <f>Input_clock*Table1[[#This Row],[FW PLL Multiplier]]</f>
        <v>1056</v>
      </c>
      <c r="D14">
        <f xml:space="preserve"> INT(INT(Table1[[#This Row],[Output speed (Mbps)]]/Pix_clock_target+1.99)/2)*2</f>
        <v>8</v>
      </c>
      <c r="E14">
        <f>Table1[[#This Row],[Output speed (Mbps)]]/Table1[[#This Row],[Pixel clock div]]</f>
        <v>132</v>
      </c>
      <c r="F14" s="2">
        <f>IF(Table1[[#This Row],[Pixel clock div]]=8,1128,1200)</f>
        <v>1128</v>
      </c>
      <c r="G14" s="3">
        <f>Table1[[#This Row],[Minimum Line length]]/Table1[[#This Row],[Pixel clock (MHz)]]</f>
        <v>8.545454545454545</v>
      </c>
      <c r="H14" s="5">
        <f>Table1[[#This Row],[Pixel clock (MHz)]]/Table1[[#This Row],[Minimum Line length]]/Minimum_FL*1000000</f>
        <v>164.35572555582118</v>
      </c>
    </row>
    <row r="15" spans="1:11" x14ac:dyDescent="0.25">
      <c r="A15" s="1">
        <f t="shared" si="0"/>
        <v>1044</v>
      </c>
      <c r="B15">
        <f>ROUND(Table1[[#This Row],[Requested speed (Mbps)]]/Input_clock, 0)</f>
        <v>87</v>
      </c>
      <c r="C15">
        <f>Input_clock*Table1[[#This Row],[FW PLL Multiplier]]</f>
        <v>1044</v>
      </c>
      <c r="D15">
        <f xml:space="preserve"> INT(INT(Table1[[#This Row],[Output speed (Mbps)]]/Pix_clock_target+1.99)/2)*2</f>
        <v>8</v>
      </c>
      <c r="E15">
        <f>Table1[[#This Row],[Output speed (Mbps)]]/Table1[[#This Row],[Pixel clock div]]</f>
        <v>130.5</v>
      </c>
      <c r="F15" s="2">
        <f>IF(Table1[[#This Row],[Pixel clock div]]=8,1128,1200)</f>
        <v>1128</v>
      </c>
      <c r="G15" s="3">
        <f>Table1[[#This Row],[Minimum Line length]]/Table1[[#This Row],[Pixel clock (MHz)]]</f>
        <v>8.6436781609195403</v>
      </c>
      <c r="H15" s="5">
        <f>Table1[[#This Row],[Pixel clock (MHz)]]/Table1[[#This Row],[Minimum Line length]]/Minimum_FL*1000000</f>
        <v>162.48804685632319</v>
      </c>
    </row>
    <row r="16" spans="1:11" x14ac:dyDescent="0.25">
      <c r="A16" s="1">
        <f t="shared" si="0"/>
        <v>1032</v>
      </c>
      <c r="B16">
        <f>ROUND(Table1[[#This Row],[Requested speed (Mbps)]]/Input_clock, 0)</f>
        <v>86</v>
      </c>
      <c r="C16">
        <f>Input_clock*Table1[[#This Row],[FW PLL Multiplier]]</f>
        <v>1032</v>
      </c>
      <c r="D16">
        <f xml:space="preserve"> INT(INT(Table1[[#This Row],[Output speed (Mbps)]]/Pix_clock_target+1.99)/2)*2</f>
        <v>8</v>
      </c>
      <c r="E16">
        <f>Table1[[#This Row],[Output speed (Mbps)]]/Table1[[#This Row],[Pixel clock div]]</f>
        <v>129</v>
      </c>
      <c r="F16" s="2">
        <f>IF(Table1[[#This Row],[Pixel clock div]]=8,1128,1200)</f>
        <v>1128</v>
      </c>
      <c r="G16" s="3">
        <f>Table1[[#This Row],[Minimum Line length]]/Table1[[#This Row],[Pixel clock (MHz)]]</f>
        <v>8.7441860465116275</v>
      </c>
      <c r="H16" s="5">
        <f>Table1[[#This Row],[Pixel clock (MHz)]]/Table1[[#This Row],[Minimum Line length]]/Minimum_FL*1000000</f>
        <v>160.62036815682524</v>
      </c>
    </row>
    <row r="17" spans="1:8" x14ac:dyDescent="0.25">
      <c r="A17" s="1">
        <f t="shared" si="0"/>
        <v>1020</v>
      </c>
      <c r="B17">
        <f>ROUND(Table1[[#This Row],[Requested speed (Mbps)]]/Input_clock, 0)</f>
        <v>85</v>
      </c>
      <c r="C17">
        <f>Input_clock*Table1[[#This Row],[FW PLL Multiplier]]</f>
        <v>1020</v>
      </c>
      <c r="D17">
        <f xml:space="preserve"> INT(INT(Table1[[#This Row],[Output speed (Mbps)]]/Pix_clock_target+1.99)/2)*2</f>
        <v>8</v>
      </c>
      <c r="E17">
        <f>Table1[[#This Row],[Output speed (Mbps)]]/Table1[[#This Row],[Pixel clock div]]</f>
        <v>127.5</v>
      </c>
      <c r="F17" s="2">
        <f>IF(Table1[[#This Row],[Pixel clock div]]=8,1128,1200)</f>
        <v>1128</v>
      </c>
      <c r="G17" s="3">
        <f>Table1[[#This Row],[Minimum Line length]]/Table1[[#This Row],[Pixel clock (MHz)]]</f>
        <v>8.8470588235294123</v>
      </c>
      <c r="H17" s="5">
        <f>Table1[[#This Row],[Pixel clock (MHz)]]/Table1[[#This Row],[Minimum Line length]]/Minimum_FL*1000000</f>
        <v>158.75268945732728</v>
      </c>
    </row>
    <row r="18" spans="1:8" x14ac:dyDescent="0.25">
      <c r="A18" s="1">
        <f t="shared" si="0"/>
        <v>1008</v>
      </c>
      <c r="B18">
        <f>ROUND(Table1[[#This Row],[Requested speed (Mbps)]]/Input_clock, 0)</f>
        <v>84</v>
      </c>
      <c r="C18">
        <f>Input_clock*Table1[[#This Row],[FW PLL Multiplier]]</f>
        <v>1008</v>
      </c>
      <c r="D18">
        <f xml:space="preserve"> INT(INT(Table1[[#This Row],[Output speed (Mbps)]]/Pix_clock_target+1.99)/2)*2</f>
        <v>8</v>
      </c>
      <c r="E18">
        <f>Table1[[#This Row],[Output speed (Mbps)]]/Table1[[#This Row],[Pixel clock div]]</f>
        <v>126</v>
      </c>
      <c r="F18" s="2">
        <f>IF(Table1[[#This Row],[Pixel clock div]]=8,1128,1200)</f>
        <v>1128</v>
      </c>
      <c r="G18" s="3">
        <f>Table1[[#This Row],[Minimum Line length]]/Table1[[#This Row],[Pixel clock (MHz)]]</f>
        <v>8.9523809523809526</v>
      </c>
      <c r="H18" s="5">
        <f>Table1[[#This Row],[Pixel clock (MHz)]]/Table1[[#This Row],[Minimum Line length]]/Minimum_FL*1000000</f>
        <v>156.88501075782929</v>
      </c>
    </row>
    <row r="19" spans="1:8" x14ac:dyDescent="0.25">
      <c r="A19" s="1">
        <f t="shared" si="0"/>
        <v>996</v>
      </c>
      <c r="B19">
        <f>ROUND(Table1[[#This Row],[Requested speed (Mbps)]]/Input_clock, 0)</f>
        <v>83</v>
      </c>
      <c r="C19">
        <f>Input_clock*Table1[[#This Row],[FW PLL Multiplier]]</f>
        <v>996</v>
      </c>
      <c r="D19">
        <f xml:space="preserve"> INT(INT(Table1[[#This Row],[Output speed (Mbps)]]/Pix_clock_target+1.99)/2)*2</f>
        <v>8</v>
      </c>
      <c r="E19">
        <f>Table1[[#This Row],[Output speed (Mbps)]]/Table1[[#This Row],[Pixel clock div]]</f>
        <v>124.5</v>
      </c>
      <c r="F19" s="2">
        <f>IF(Table1[[#This Row],[Pixel clock div]]=8,1128,1200)</f>
        <v>1128</v>
      </c>
      <c r="G19" s="3">
        <f>Table1[[#This Row],[Minimum Line length]]/Table1[[#This Row],[Pixel clock (MHz)]]</f>
        <v>9.0602409638554224</v>
      </c>
      <c r="H19" s="5">
        <f>Table1[[#This Row],[Pixel clock (MHz)]]/Table1[[#This Row],[Minimum Line length]]/Minimum_FL*1000000</f>
        <v>155.01733205833136</v>
      </c>
    </row>
    <row r="20" spans="1:8" x14ac:dyDescent="0.25">
      <c r="A20" s="1">
        <f t="shared" si="0"/>
        <v>984</v>
      </c>
      <c r="B20">
        <f>ROUND(Table1[[#This Row],[Requested speed (Mbps)]]/Input_clock, 0)</f>
        <v>82</v>
      </c>
      <c r="C20">
        <f>Input_clock*Table1[[#This Row],[FW PLL Multiplier]]</f>
        <v>984</v>
      </c>
      <c r="D20">
        <f xml:space="preserve"> INT(INT(Table1[[#This Row],[Output speed (Mbps)]]/Pix_clock_target+1.99)/2)*2</f>
        <v>8</v>
      </c>
      <c r="E20">
        <f>Table1[[#This Row],[Output speed (Mbps)]]/Table1[[#This Row],[Pixel clock div]]</f>
        <v>123</v>
      </c>
      <c r="F20" s="2">
        <f>IF(Table1[[#This Row],[Pixel clock div]]=8,1128,1200)</f>
        <v>1128</v>
      </c>
      <c r="G20" s="3">
        <f>Table1[[#This Row],[Minimum Line length]]/Table1[[#This Row],[Pixel clock (MHz)]]</f>
        <v>9.1707317073170724</v>
      </c>
      <c r="H20" s="5">
        <f>Table1[[#This Row],[Pixel clock (MHz)]]/Table1[[#This Row],[Minimum Line length]]/Minimum_FL*1000000</f>
        <v>153.1496533588334</v>
      </c>
    </row>
    <row r="21" spans="1:8" x14ac:dyDescent="0.25">
      <c r="A21" s="1">
        <f t="shared" si="0"/>
        <v>972</v>
      </c>
      <c r="B21">
        <f>ROUND(Table1[[#This Row],[Requested speed (Mbps)]]/Input_clock, 0)</f>
        <v>81</v>
      </c>
      <c r="C21">
        <f>Input_clock*Table1[[#This Row],[FW PLL Multiplier]]</f>
        <v>972</v>
      </c>
      <c r="D21">
        <f xml:space="preserve"> INT(INT(Table1[[#This Row],[Output speed (Mbps)]]/Pix_clock_target+1.99)/2)*2</f>
        <v>8</v>
      </c>
      <c r="E21">
        <f>Table1[[#This Row],[Output speed (Mbps)]]/Table1[[#This Row],[Pixel clock div]]</f>
        <v>121.5</v>
      </c>
      <c r="F21" s="2">
        <f>IF(Table1[[#This Row],[Pixel clock div]]=8,1128,1200)</f>
        <v>1128</v>
      </c>
      <c r="G21" s="3">
        <f>Table1[[#This Row],[Minimum Line length]]/Table1[[#This Row],[Pixel clock (MHz)]]</f>
        <v>9.283950617283951</v>
      </c>
      <c r="H21" s="5">
        <f>Table1[[#This Row],[Pixel clock (MHz)]]/Table1[[#This Row],[Minimum Line length]]/Minimum_FL*1000000</f>
        <v>151.28197465933542</v>
      </c>
    </row>
    <row r="22" spans="1:8" x14ac:dyDescent="0.25">
      <c r="A22" s="1">
        <f t="shared" si="0"/>
        <v>960</v>
      </c>
      <c r="B22">
        <f>ROUND(Table1[[#This Row],[Requested speed (Mbps)]]/Input_clock, 0)</f>
        <v>80</v>
      </c>
      <c r="C22">
        <f>Input_clock*Table1[[#This Row],[FW PLL Multiplier]]</f>
        <v>960</v>
      </c>
      <c r="D22">
        <f xml:space="preserve"> INT(INT(Table1[[#This Row],[Output speed (Mbps)]]/Pix_clock_target+1.99)/2)*2</f>
        <v>8</v>
      </c>
      <c r="E22">
        <f>Table1[[#This Row],[Output speed (Mbps)]]/Table1[[#This Row],[Pixel clock div]]</f>
        <v>120</v>
      </c>
      <c r="F22" s="2">
        <f>IF(Table1[[#This Row],[Pixel clock div]]=8,1128,1200)</f>
        <v>1128</v>
      </c>
      <c r="G22" s="3">
        <f>Table1[[#This Row],[Minimum Line length]]/Table1[[#This Row],[Pixel clock (MHz)]]</f>
        <v>9.4</v>
      </c>
      <c r="H22" s="5">
        <f>Table1[[#This Row],[Pixel clock (MHz)]]/Table1[[#This Row],[Minimum Line length]]/Minimum_FL*1000000</f>
        <v>149.41429595983746</v>
      </c>
    </row>
    <row r="23" spans="1:8" x14ac:dyDescent="0.25">
      <c r="A23" s="1">
        <f t="shared" si="0"/>
        <v>948</v>
      </c>
      <c r="B23">
        <f>ROUND(Table1[[#This Row],[Requested speed (Mbps)]]/Input_clock, 0)</f>
        <v>79</v>
      </c>
      <c r="C23">
        <f>Input_clock*Table1[[#This Row],[FW PLL Multiplier]]</f>
        <v>948</v>
      </c>
      <c r="D23">
        <f xml:space="preserve"> INT(INT(Table1[[#This Row],[Output speed (Mbps)]]/Pix_clock_target+1.99)/2)*2</f>
        <v>8</v>
      </c>
      <c r="E23">
        <f>Table1[[#This Row],[Output speed (Mbps)]]/Table1[[#This Row],[Pixel clock div]]</f>
        <v>118.5</v>
      </c>
      <c r="F23" s="2">
        <f>IF(Table1[[#This Row],[Pixel clock div]]=8,1128,1200)</f>
        <v>1128</v>
      </c>
      <c r="G23" s="3">
        <f>Table1[[#This Row],[Minimum Line length]]/Table1[[#This Row],[Pixel clock (MHz)]]</f>
        <v>9.5189873417721511</v>
      </c>
      <c r="H23" s="5">
        <f>Table1[[#This Row],[Pixel clock (MHz)]]/Table1[[#This Row],[Minimum Line length]]/Minimum_FL*1000000</f>
        <v>147.54661726033947</v>
      </c>
    </row>
    <row r="24" spans="1:8" x14ac:dyDescent="0.25">
      <c r="A24" s="1">
        <f t="shared" si="0"/>
        <v>936</v>
      </c>
      <c r="B24">
        <f>ROUND(Table1[[#This Row],[Requested speed (Mbps)]]/Input_clock, 0)</f>
        <v>78</v>
      </c>
      <c r="C24">
        <f>Input_clock*Table1[[#This Row],[FW PLL Multiplier]]</f>
        <v>936</v>
      </c>
      <c r="D24">
        <f xml:space="preserve"> INT(INT(Table1[[#This Row],[Output speed (Mbps)]]/Pix_clock_target+1.99)/2)*2</f>
        <v>8</v>
      </c>
      <c r="E24">
        <f>Table1[[#This Row],[Output speed (Mbps)]]/Table1[[#This Row],[Pixel clock div]]</f>
        <v>117</v>
      </c>
      <c r="F24" s="2">
        <f>IF(Table1[[#This Row],[Pixel clock div]]=8,1128,1200)</f>
        <v>1128</v>
      </c>
      <c r="G24" s="3">
        <f>Table1[[#This Row],[Minimum Line length]]/Table1[[#This Row],[Pixel clock (MHz)]]</f>
        <v>9.6410256410256405</v>
      </c>
      <c r="H24" s="5">
        <f>Table1[[#This Row],[Pixel clock (MHz)]]/Table1[[#This Row],[Minimum Line length]]/Minimum_FL*1000000</f>
        <v>145.67893856084152</v>
      </c>
    </row>
    <row r="25" spans="1:8" x14ac:dyDescent="0.25">
      <c r="A25" s="1">
        <f t="shared" si="0"/>
        <v>924</v>
      </c>
      <c r="B25">
        <f>ROUND(Table1[[#This Row],[Requested speed (Mbps)]]/Input_clock, 0)</f>
        <v>77</v>
      </c>
      <c r="C25">
        <f>Input_clock*Table1[[#This Row],[FW PLL Multiplier]]</f>
        <v>924</v>
      </c>
      <c r="D25">
        <f xml:space="preserve"> INT(INT(Table1[[#This Row],[Output speed (Mbps)]]/Pix_clock_target+1.99)/2)*2</f>
        <v>8</v>
      </c>
      <c r="E25">
        <f>Table1[[#This Row],[Output speed (Mbps)]]/Table1[[#This Row],[Pixel clock div]]</f>
        <v>115.5</v>
      </c>
      <c r="F25" s="2">
        <f>IF(Table1[[#This Row],[Pixel clock div]]=8,1128,1200)</f>
        <v>1128</v>
      </c>
      <c r="G25" s="3">
        <f>Table1[[#This Row],[Minimum Line length]]/Table1[[#This Row],[Pixel clock (MHz)]]</f>
        <v>9.7662337662337659</v>
      </c>
      <c r="H25" s="5">
        <f>Table1[[#This Row],[Pixel clock (MHz)]]/Table1[[#This Row],[Minimum Line length]]/Minimum_FL*1000000</f>
        <v>143.81125986134353</v>
      </c>
    </row>
    <row r="26" spans="1:8" x14ac:dyDescent="0.25">
      <c r="A26" s="1">
        <f t="shared" si="0"/>
        <v>912</v>
      </c>
      <c r="B26">
        <f>ROUND(Table1[[#This Row],[Requested speed (Mbps)]]/Input_clock, 0)</f>
        <v>76</v>
      </c>
      <c r="C26">
        <f>Input_clock*Table1[[#This Row],[FW PLL Multiplier]]</f>
        <v>912</v>
      </c>
      <c r="D26">
        <f xml:space="preserve"> INT(INT(Table1[[#This Row],[Output speed (Mbps)]]/Pix_clock_target+1.99)/2)*2</f>
        <v>8</v>
      </c>
      <c r="E26">
        <f>Table1[[#This Row],[Output speed (Mbps)]]/Table1[[#This Row],[Pixel clock div]]</f>
        <v>114</v>
      </c>
      <c r="F26" s="2">
        <f>IF(Table1[[#This Row],[Pixel clock div]]=8,1128,1200)</f>
        <v>1128</v>
      </c>
      <c r="G26" s="3">
        <f>Table1[[#This Row],[Minimum Line length]]/Table1[[#This Row],[Pixel clock (MHz)]]</f>
        <v>9.8947368421052637</v>
      </c>
      <c r="H26" s="5">
        <f>Table1[[#This Row],[Pixel clock (MHz)]]/Table1[[#This Row],[Minimum Line length]]/Minimum_FL*1000000</f>
        <v>141.94358116184557</v>
      </c>
    </row>
    <row r="27" spans="1:8" x14ac:dyDescent="0.25">
      <c r="A27" s="1">
        <f t="shared" si="0"/>
        <v>900</v>
      </c>
      <c r="B27">
        <f>ROUND(Table1[[#This Row],[Requested speed (Mbps)]]/Input_clock, 0)</f>
        <v>75</v>
      </c>
      <c r="C27">
        <f>Input_clock*Table1[[#This Row],[FW PLL Multiplier]]</f>
        <v>900</v>
      </c>
      <c r="D27">
        <f xml:space="preserve"> INT(INT(Table1[[#This Row],[Output speed (Mbps)]]/Pix_clock_target+1.99)/2)*2</f>
        <v>6</v>
      </c>
      <c r="E27">
        <f>Table1[[#This Row],[Output speed (Mbps)]]/Table1[[#This Row],[Pixel clock div]]</f>
        <v>150</v>
      </c>
      <c r="F27" s="2">
        <f>IF(Table1[[#This Row],[Pixel clock div]]=8,1128,1200)</f>
        <v>1200</v>
      </c>
      <c r="G27" s="3">
        <f>Table1[[#This Row],[Minimum Line length]]/Table1[[#This Row],[Pixel clock (MHz)]]</f>
        <v>8</v>
      </c>
      <c r="H27" s="5">
        <f>Table1[[#This Row],[Pixel clock (MHz)]]/Table1[[#This Row],[Minimum Line length]]/Minimum_FL*1000000</f>
        <v>175.56179775280899</v>
      </c>
    </row>
    <row r="28" spans="1:8" x14ac:dyDescent="0.25">
      <c r="A28" s="1">
        <f t="shared" si="0"/>
        <v>888</v>
      </c>
      <c r="B28">
        <f>ROUND(Table1[[#This Row],[Requested speed (Mbps)]]/Input_clock, 0)</f>
        <v>74</v>
      </c>
      <c r="C28">
        <f>Input_clock*Table1[[#This Row],[FW PLL Multiplier]]</f>
        <v>888</v>
      </c>
      <c r="D28">
        <f xml:space="preserve"> INT(INT(Table1[[#This Row],[Output speed (Mbps)]]/Pix_clock_target+1.99)/2)*2</f>
        <v>6</v>
      </c>
      <c r="E28">
        <f>Table1[[#This Row],[Output speed (Mbps)]]/Table1[[#This Row],[Pixel clock div]]</f>
        <v>148</v>
      </c>
      <c r="F28" s="2">
        <f>IF(Table1[[#This Row],[Pixel clock div]]=8,1128,1200)</f>
        <v>1200</v>
      </c>
      <c r="G28" s="3">
        <f>Table1[[#This Row],[Minimum Line length]]/Table1[[#This Row],[Pixel clock (MHz)]]</f>
        <v>8.1081081081081088</v>
      </c>
      <c r="H28" s="5">
        <f>Table1[[#This Row],[Pixel clock (MHz)]]/Table1[[#This Row],[Minimum Line length]]/Minimum_FL*1000000</f>
        <v>173.22097378277155</v>
      </c>
    </row>
    <row r="29" spans="1:8" x14ac:dyDescent="0.25">
      <c r="A29" s="1">
        <f t="shared" si="0"/>
        <v>876</v>
      </c>
      <c r="B29">
        <f>ROUND(Table1[[#This Row],[Requested speed (Mbps)]]/Input_clock, 0)</f>
        <v>73</v>
      </c>
      <c r="C29">
        <f>Input_clock*Table1[[#This Row],[FW PLL Multiplier]]</f>
        <v>876</v>
      </c>
      <c r="D29">
        <f xml:space="preserve"> INT(INT(Table1[[#This Row],[Output speed (Mbps)]]/Pix_clock_target+1.99)/2)*2</f>
        <v>6</v>
      </c>
      <c r="E29">
        <f>Table1[[#This Row],[Output speed (Mbps)]]/Table1[[#This Row],[Pixel clock div]]</f>
        <v>146</v>
      </c>
      <c r="F29" s="2">
        <f>IF(Table1[[#This Row],[Pixel clock div]]=8,1128,1200)</f>
        <v>1200</v>
      </c>
      <c r="G29" s="3">
        <f>Table1[[#This Row],[Minimum Line length]]/Table1[[#This Row],[Pixel clock (MHz)]]</f>
        <v>8.2191780821917817</v>
      </c>
      <c r="H29" s="5">
        <f>Table1[[#This Row],[Pixel clock (MHz)]]/Table1[[#This Row],[Minimum Line length]]/Minimum_FL*1000000</f>
        <v>170.88014981273409</v>
      </c>
    </row>
    <row r="30" spans="1:8" x14ac:dyDescent="0.25">
      <c r="A30" s="1">
        <f t="shared" si="0"/>
        <v>864</v>
      </c>
      <c r="B30">
        <f>ROUND(Table1[[#This Row],[Requested speed (Mbps)]]/Input_clock, 0)</f>
        <v>72</v>
      </c>
      <c r="C30">
        <f>Input_clock*Table1[[#This Row],[FW PLL Multiplier]]</f>
        <v>864</v>
      </c>
      <c r="D30">
        <f xml:space="preserve"> INT(INT(Table1[[#This Row],[Output speed (Mbps)]]/Pix_clock_target+1.99)/2)*2</f>
        <v>6</v>
      </c>
      <c r="E30">
        <f>Table1[[#This Row],[Output speed (Mbps)]]/Table1[[#This Row],[Pixel clock div]]</f>
        <v>144</v>
      </c>
      <c r="F30" s="2">
        <f>IF(Table1[[#This Row],[Pixel clock div]]=8,1128,1200)</f>
        <v>1200</v>
      </c>
      <c r="G30" s="3">
        <f>Table1[[#This Row],[Minimum Line length]]/Table1[[#This Row],[Pixel clock (MHz)]]</f>
        <v>8.3333333333333339</v>
      </c>
      <c r="H30" s="5">
        <f>Table1[[#This Row],[Pixel clock (MHz)]]/Table1[[#This Row],[Minimum Line length]]/Minimum_FL*1000000</f>
        <v>168.53932584269663</v>
      </c>
    </row>
    <row r="31" spans="1:8" x14ac:dyDescent="0.25">
      <c r="A31" s="1">
        <f t="shared" si="0"/>
        <v>852</v>
      </c>
      <c r="B31">
        <f>ROUND(Table1[[#This Row],[Requested speed (Mbps)]]/Input_clock, 0)</f>
        <v>71</v>
      </c>
      <c r="C31">
        <f>Input_clock*Table1[[#This Row],[FW PLL Multiplier]]</f>
        <v>852</v>
      </c>
      <c r="D31">
        <f xml:space="preserve"> INT(INT(Table1[[#This Row],[Output speed (Mbps)]]/Pix_clock_target+1.99)/2)*2</f>
        <v>6</v>
      </c>
      <c r="E31">
        <f>Table1[[#This Row],[Output speed (Mbps)]]/Table1[[#This Row],[Pixel clock div]]</f>
        <v>142</v>
      </c>
      <c r="F31" s="2">
        <f>IF(Table1[[#This Row],[Pixel clock div]]=8,1128,1200)</f>
        <v>1200</v>
      </c>
      <c r="G31" s="3">
        <f>Table1[[#This Row],[Minimum Line length]]/Table1[[#This Row],[Pixel clock (MHz)]]</f>
        <v>8.4507042253521121</v>
      </c>
      <c r="H31" s="5">
        <f>Table1[[#This Row],[Pixel clock (MHz)]]/Table1[[#This Row],[Minimum Line length]]/Minimum_FL*1000000</f>
        <v>166.19850187265916</v>
      </c>
    </row>
    <row r="32" spans="1:8" x14ac:dyDescent="0.25">
      <c r="A32" s="1">
        <f t="shared" si="0"/>
        <v>840</v>
      </c>
      <c r="B32">
        <f>ROUND(Table1[[#This Row],[Requested speed (Mbps)]]/Input_clock, 0)</f>
        <v>70</v>
      </c>
      <c r="C32">
        <f>Input_clock*Table1[[#This Row],[FW PLL Multiplier]]</f>
        <v>840</v>
      </c>
      <c r="D32">
        <f xml:space="preserve"> INT(INT(Table1[[#This Row],[Output speed (Mbps)]]/Pix_clock_target+1.99)/2)*2</f>
        <v>6</v>
      </c>
      <c r="E32">
        <f>Table1[[#This Row],[Output speed (Mbps)]]/Table1[[#This Row],[Pixel clock div]]</f>
        <v>140</v>
      </c>
      <c r="F32" s="2">
        <f>IF(Table1[[#This Row],[Pixel clock div]]=8,1128,1200)</f>
        <v>1200</v>
      </c>
      <c r="G32" s="3">
        <f>Table1[[#This Row],[Minimum Line length]]/Table1[[#This Row],[Pixel clock (MHz)]]</f>
        <v>8.5714285714285712</v>
      </c>
      <c r="H32" s="5">
        <f>Table1[[#This Row],[Pixel clock (MHz)]]/Table1[[#This Row],[Minimum Line length]]/Minimum_FL*1000000</f>
        <v>163.85767790262173</v>
      </c>
    </row>
    <row r="33" spans="1:8" x14ac:dyDescent="0.25">
      <c r="A33" s="1">
        <f t="shared" si="0"/>
        <v>828</v>
      </c>
      <c r="B33">
        <f>ROUND(Table1[[#This Row],[Requested speed (Mbps)]]/Input_clock, 0)</f>
        <v>69</v>
      </c>
      <c r="C33">
        <f>Input_clock*Table1[[#This Row],[FW PLL Multiplier]]</f>
        <v>828</v>
      </c>
      <c r="D33">
        <f xml:space="preserve"> INT(INT(Table1[[#This Row],[Output speed (Mbps)]]/Pix_clock_target+1.99)/2)*2</f>
        <v>6</v>
      </c>
      <c r="E33">
        <f>Table1[[#This Row],[Output speed (Mbps)]]/Table1[[#This Row],[Pixel clock div]]</f>
        <v>138</v>
      </c>
      <c r="F33" s="2">
        <f>IF(Table1[[#This Row],[Pixel clock div]]=8,1128,1200)</f>
        <v>1200</v>
      </c>
      <c r="G33" s="3">
        <f>Table1[[#This Row],[Minimum Line length]]/Table1[[#This Row],[Pixel clock (MHz)]]</f>
        <v>8.695652173913043</v>
      </c>
      <c r="H33" s="5">
        <f>Table1[[#This Row],[Pixel clock (MHz)]]/Table1[[#This Row],[Minimum Line length]]/Minimum_FL*1000000</f>
        <v>161.5168539325843</v>
      </c>
    </row>
    <row r="34" spans="1:8" x14ac:dyDescent="0.25">
      <c r="A34" s="1">
        <f t="shared" si="0"/>
        <v>816</v>
      </c>
      <c r="B34">
        <f>ROUND(Table1[[#This Row],[Requested speed (Mbps)]]/Input_clock, 0)</f>
        <v>68</v>
      </c>
      <c r="C34">
        <f>Input_clock*Table1[[#This Row],[FW PLL Multiplier]]</f>
        <v>816</v>
      </c>
      <c r="D34">
        <f xml:space="preserve"> INT(INT(Table1[[#This Row],[Output speed (Mbps)]]/Pix_clock_target+1.99)/2)*2</f>
        <v>6</v>
      </c>
      <c r="E34">
        <f>Table1[[#This Row],[Output speed (Mbps)]]/Table1[[#This Row],[Pixel clock div]]</f>
        <v>136</v>
      </c>
      <c r="F34" s="2">
        <f>IF(Table1[[#This Row],[Pixel clock div]]=8,1128,1200)</f>
        <v>1200</v>
      </c>
      <c r="G34" s="3">
        <f>Table1[[#This Row],[Minimum Line length]]/Table1[[#This Row],[Pixel clock (MHz)]]</f>
        <v>8.8235294117647065</v>
      </c>
      <c r="H34" s="5">
        <f>Table1[[#This Row],[Pixel clock (MHz)]]/Table1[[#This Row],[Minimum Line length]]/Minimum_FL*1000000</f>
        <v>159.17602996254681</v>
      </c>
    </row>
    <row r="35" spans="1:8" x14ac:dyDescent="0.25">
      <c r="A35" s="1">
        <f t="shared" si="0"/>
        <v>804</v>
      </c>
      <c r="B35">
        <f>ROUND(Table1[[#This Row],[Requested speed (Mbps)]]/Input_clock, 0)</f>
        <v>67</v>
      </c>
      <c r="C35">
        <f>Input_clock*Table1[[#This Row],[FW PLL Multiplier]]</f>
        <v>804</v>
      </c>
      <c r="D35">
        <f xml:space="preserve"> INT(INT(Table1[[#This Row],[Output speed (Mbps)]]/Pix_clock_target+1.99)/2)*2</f>
        <v>6</v>
      </c>
      <c r="E35">
        <f>Table1[[#This Row],[Output speed (Mbps)]]/Table1[[#This Row],[Pixel clock div]]</f>
        <v>134</v>
      </c>
      <c r="F35" s="2">
        <f>IF(Table1[[#This Row],[Pixel clock div]]=8,1128,1200)</f>
        <v>1200</v>
      </c>
      <c r="G35" s="3">
        <f>Table1[[#This Row],[Minimum Line length]]/Table1[[#This Row],[Pixel clock (MHz)]]</f>
        <v>8.9552238805970141</v>
      </c>
      <c r="H35" s="5">
        <f>Table1[[#This Row],[Pixel clock (MHz)]]/Table1[[#This Row],[Minimum Line length]]/Minimum_FL*1000000</f>
        <v>156.83520599250937</v>
      </c>
    </row>
    <row r="36" spans="1:8" x14ac:dyDescent="0.25">
      <c r="A36" s="1">
        <f t="shared" si="0"/>
        <v>792</v>
      </c>
      <c r="B36">
        <f>ROUND(Table1[[#This Row],[Requested speed (Mbps)]]/Input_clock, 0)</f>
        <v>66</v>
      </c>
      <c r="C36">
        <f>Input_clock*Table1[[#This Row],[FW PLL Multiplier]]</f>
        <v>792</v>
      </c>
      <c r="D36">
        <f xml:space="preserve"> INT(INT(Table1[[#This Row],[Output speed (Mbps)]]/Pix_clock_target+1.99)/2)*2</f>
        <v>6</v>
      </c>
      <c r="E36">
        <f>Table1[[#This Row],[Output speed (Mbps)]]/Table1[[#This Row],[Pixel clock div]]</f>
        <v>132</v>
      </c>
      <c r="F36" s="2">
        <f>IF(Table1[[#This Row],[Pixel clock div]]=8,1128,1200)</f>
        <v>1200</v>
      </c>
      <c r="G36" s="3">
        <f>Table1[[#This Row],[Minimum Line length]]/Table1[[#This Row],[Pixel clock (MHz)]]</f>
        <v>9.0909090909090917</v>
      </c>
      <c r="H36" s="5">
        <f>Table1[[#This Row],[Pixel clock (MHz)]]/Table1[[#This Row],[Minimum Line length]]/Minimum_FL*1000000</f>
        <v>154.49438202247191</v>
      </c>
    </row>
    <row r="37" spans="1:8" x14ac:dyDescent="0.25">
      <c r="A37" s="1">
        <f t="shared" si="0"/>
        <v>780</v>
      </c>
      <c r="B37">
        <f>ROUND(Table1[[#This Row],[Requested speed (Mbps)]]/Input_clock, 0)</f>
        <v>65</v>
      </c>
      <c r="C37">
        <f>Input_clock*Table1[[#This Row],[FW PLL Multiplier]]</f>
        <v>780</v>
      </c>
      <c r="D37">
        <f xml:space="preserve"> INT(INT(Table1[[#This Row],[Output speed (Mbps)]]/Pix_clock_target+1.99)/2)*2</f>
        <v>6</v>
      </c>
      <c r="E37">
        <f>Table1[[#This Row],[Output speed (Mbps)]]/Table1[[#This Row],[Pixel clock div]]</f>
        <v>130</v>
      </c>
      <c r="F37" s="2">
        <f>IF(Table1[[#This Row],[Pixel clock div]]=8,1128,1200)</f>
        <v>1200</v>
      </c>
      <c r="G37" s="3">
        <f>Table1[[#This Row],[Minimum Line length]]/Table1[[#This Row],[Pixel clock (MHz)]]</f>
        <v>9.2307692307692299</v>
      </c>
      <c r="H37" s="5">
        <f>Table1[[#This Row],[Pixel clock (MHz)]]/Table1[[#This Row],[Minimum Line length]]/Minimum_FL*1000000</f>
        <v>152.15355805243445</v>
      </c>
    </row>
    <row r="38" spans="1:8" x14ac:dyDescent="0.25">
      <c r="A38" s="1">
        <f t="shared" si="0"/>
        <v>768</v>
      </c>
      <c r="B38">
        <f>ROUND(Table1[[#This Row],[Requested speed (Mbps)]]/Input_clock, 0)</f>
        <v>64</v>
      </c>
      <c r="C38">
        <f>Input_clock*Table1[[#This Row],[FW PLL Multiplier]]</f>
        <v>768</v>
      </c>
      <c r="D38">
        <f xml:space="preserve"> INT(INT(Table1[[#This Row],[Output speed (Mbps)]]/Pix_clock_target+1.99)/2)*2</f>
        <v>6</v>
      </c>
      <c r="E38">
        <f>Table1[[#This Row],[Output speed (Mbps)]]/Table1[[#This Row],[Pixel clock div]]</f>
        <v>128</v>
      </c>
      <c r="F38" s="2">
        <f>IF(Table1[[#This Row],[Pixel clock div]]=8,1128,1200)</f>
        <v>1200</v>
      </c>
      <c r="G38" s="3">
        <f>Table1[[#This Row],[Minimum Line length]]/Table1[[#This Row],[Pixel clock (MHz)]]</f>
        <v>9.375</v>
      </c>
      <c r="H38" s="5">
        <f>Table1[[#This Row],[Pixel clock (MHz)]]/Table1[[#This Row],[Minimum Line length]]/Minimum_FL*1000000</f>
        <v>149.81273408239701</v>
      </c>
    </row>
    <row r="39" spans="1:8" x14ac:dyDescent="0.25">
      <c r="A39" s="1">
        <f t="shared" si="0"/>
        <v>756</v>
      </c>
      <c r="B39">
        <f>ROUND(Table1[[#This Row],[Requested speed (Mbps)]]/Input_clock, 0)</f>
        <v>63</v>
      </c>
      <c r="C39">
        <f>Input_clock*Table1[[#This Row],[FW PLL Multiplier]]</f>
        <v>756</v>
      </c>
      <c r="D39">
        <f xml:space="preserve"> INT(INT(Table1[[#This Row],[Output speed (Mbps)]]/Pix_clock_target+1.99)/2)*2</f>
        <v>6</v>
      </c>
      <c r="E39">
        <f>Table1[[#This Row],[Output speed (Mbps)]]/Table1[[#This Row],[Pixel clock div]]</f>
        <v>126</v>
      </c>
      <c r="F39" s="2">
        <f>IF(Table1[[#This Row],[Pixel clock div]]=8,1128,1200)</f>
        <v>1200</v>
      </c>
      <c r="G39" s="3">
        <f>Table1[[#This Row],[Minimum Line length]]/Table1[[#This Row],[Pixel clock (MHz)]]</f>
        <v>9.5238095238095237</v>
      </c>
      <c r="H39" s="5">
        <f>Table1[[#This Row],[Pixel clock (MHz)]]/Table1[[#This Row],[Minimum Line length]]/Minimum_FL*1000000</f>
        <v>147.47191011235952</v>
      </c>
    </row>
    <row r="40" spans="1:8" x14ac:dyDescent="0.25">
      <c r="A40" s="1">
        <f t="shared" si="0"/>
        <v>744</v>
      </c>
      <c r="B40">
        <f>ROUND(Table1[[#This Row],[Requested speed (Mbps)]]/Input_clock, 0)</f>
        <v>62</v>
      </c>
      <c r="C40">
        <f>Input_clock*Table1[[#This Row],[FW PLL Multiplier]]</f>
        <v>744</v>
      </c>
      <c r="D40">
        <f xml:space="preserve"> INT(INT(Table1[[#This Row],[Output speed (Mbps)]]/Pix_clock_target+1.99)/2)*2</f>
        <v>6</v>
      </c>
      <c r="E40">
        <f>Table1[[#This Row],[Output speed (Mbps)]]/Table1[[#This Row],[Pixel clock div]]</f>
        <v>124</v>
      </c>
      <c r="F40" s="2">
        <f>IF(Table1[[#This Row],[Pixel clock div]]=8,1128,1200)</f>
        <v>1200</v>
      </c>
      <c r="G40" s="3">
        <f>Table1[[#This Row],[Minimum Line length]]/Table1[[#This Row],[Pixel clock (MHz)]]</f>
        <v>9.67741935483871</v>
      </c>
      <c r="H40" s="5">
        <f>Table1[[#This Row],[Pixel clock (MHz)]]/Table1[[#This Row],[Minimum Line length]]/Minimum_FL*1000000</f>
        <v>145.13108614232209</v>
      </c>
    </row>
    <row r="41" spans="1:8" x14ac:dyDescent="0.25">
      <c r="A41" s="1">
        <f t="shared" si="0"/>
        <v>732</v>
      </c>
      <c r="B41">
        <f>ROUND(Table1[[#This Row],[Requested speed (Mbps)]]/Input_clock, 0)</f>
        <v>61</v>
      </c>
      <c r="C41">
        <f>Input_clock*Table1[[#This Row],[FW PLL Multiplier]]</f>
        <v>732</v>
      </c>
      <c r="D41">
        <f xml:space="preserve"> INT(INT(Table1[[#This Row],[Output speed (Mbps)]]/Pix_clock_target+1.99)/2)*2</f>
        <v>6</v>
      </c>
      <c r="E41">
        <f>Table1[[#This Row],[Output speed (Mbps)]]/Table1[[#This Row],[Pixel clock div]]</f>
        <v>122</v>
      </c>
      <c r="F41" s="2">
        <f>IF(Table1[[#This Row],[Pixel clock div]]=8,1128,1200)</f>
        <v>1200</v>
      </c>
      <c r="G41" s="3">
        <f>Table1[[#This Row],[Minimum Line length]]/Table1[[#This Row],[Pixel clock (MHz)]]</f>
        <v>9.8360655737704921</v>
      </c>
      <c r="H41" s="5">
        <f>Table1[[#This Row],[Pixel clock (MHz)]]/Table1[[#This Row],[Minimum Line length]]/Minimum_FL*1000000</f>
        <v>142.79026217228466</v>
      </c>
    </row>
    <row r="42" spans="1:8" x14ac:dyDescent="0.25">
      <c r="A42" s="1">
        <f t="shared" si="0"/>
        <v>720</v>
      </c>
      <c r="B42">
        <f>ROUND(Table1[[#This Row],[Requested speed (Mbps)]]/Input_clock, 0)</f>
        <v>60</v>
      </c>
      <c r="C42">
        <f>Input_clock*Table1[[#This Row],[FW PLL Multiplier]]</f>
        <v>720</v>
      </c>
      <c r="D42">
        <f xml:space="preserve"> INT(INT(Table1[[#This Row],[Output speed (Mbps)]]/Pix_clock_target+1.99)/2)*2</f>
        <v>6</v>
      </c>
      <c r="E42">
        <f>Table1[[#This Row],[Output speed (Mbps)]]/Table1[[#This Row],[Pixel clock div]]</f>
        <v>120</v>
      </c>
      <c r="F42" s="2">
        <f>IF(Table1[[#This Row],[Pixel clock div]]=8,1128,1200)</f>
        <v>1200</v>
      </c>
      <c r="G42" s="3">
        <f>Table1[[#This Row],[Minimum Line length]]/Table1[[#This Row],[Pixel clock (MHz)]]</f>
        <v>10</v>
      </c>
      <c r="H42" s="5">
        <f>Table1[[#This Row],[Pixel clock (MHz)]]/Table1[[#This Row],[Minimum Line length]]/Minimum_FL*1000000</f>
        <v>140.44943820224719</v>
      </c>
    </row>
    <row r="43" spans="1:8" x14ac:dyDescent="0.25">
      <c r="A43" s="1">
        <f t="shared" si="0"/>
        <v>708</v>
      </c>
      <c r="B43">
        <f>ROUND(Table1[[#This Row],[Requested speed (Mbps)]]/Input_clock, 0)</f>
        <v>59</v>
      </c>
      <c r="C43">
        <f>Input_clock*Table1[[#This Row],[FW PLL Multiplier]]</f>
        <v>708</v>
      </c>
      <c r="D43">
        <f xml:space="preserve"> INT(INT(Table1[[#This Row],[Output speed (Mbps)]]/Pix_clock_target+1.99)/2)*2</f>
        <v>6</v>
      </c>
      <c r="E43">
        <f>Table1[[#This Row],[Output speed (Mbps)]]/Table1[[#This Row],[Pixel clock div]]</f>
        <v>118</v>
      </c>
      <c r="F43" s="2">
        <f>IF(Table1[[#This Row],[Pixel clock div]]=8,1128,1200)</f>
        <v>1200</v>
      </c>
      <c r="G43" s="3">
        <f>Table1[[#This Row],[Minimum Line length]]/Table1[[#This Row],[Pixel clock (MHz)]]</f>
        <v>10.169491525423728</v>
      </c>
      <c r="H43" s="5">
        <f>Table1[[#This Row],[Pixel clock (MHz)]]/Table1[[#This Row],[Minimum Line length]]/Minimum_FL*1000000</f>
        <v>138.10861423220973</v>
      </c>
    </row>
    <row r="44" spans="1:8" x14ac:dyDescent="0.25">
      <c r="A44" s="1">
        <f t="shared" si="0"/>
        <v>696</v>
      </c>
      <c r="B44">
        <f>ROUND(Table1[[#This Row],[Requested speed (Mbps)]]/Input_clock, 0)</f>
        <v>58</v>
      </c>
      <c r="C44">
        <f>Input_clock*Table1[[#This Row],[FW PLL Multiplier]]</f>
        <v>696</v>
      </c>
      <c r="D44">
        <f xml:space="preserve"> INT(INT(Table1[[#This Row],[Output speed (Mbps)]]/Pix_clock_target+1.99)/2)*2</f>
        <v>6</v>
      </c>
      <c r="E44">
        <f>Table1[[#This Row],[Output speed (Mbps)]]/Table1[[#This Row],[Pixel clock div]]</f>
        <v>116</v>
      </c>
      <c r="F44" s="2">
        <f>IF(Table1[[#This Row],[Pixel clock div]]=8,1128,1200)</f>
        <v>1200</v>
      </c>
      <c r="G44" s="3">
        <f>Table1[[#This Row],[Minimum Line length]]/Table1[[#This Row],[Pixel clock (MHz)]]</f>
        <v>10.344827586206897</v>
      </c>
      <c r="H44" s="5">
        <f>Table1[[#This Row],[Pixel clock (MHz)]]/Table1[[#This Row],[Minimum Line length]]/Minimum_FL*1000000</f>
        <v>135.7677902621723</v>
      </c>
    </row>
    <row r="45" spans="1:8" x14ac:dyDescent="0.25">
      <c r="A45" s="1">
        <f t="shared" si="0"/>
        <v>684</v>
      </c>
      <c r="B45">
        <f>ROUND(Table1[[#This Row],[Requested speed (Mbps)]]/Input_clock, 0)</f>
        <v>57</v>
      </c>
      <c r="C45">
        <f>Input_clock*Table1[[#This Row],[FW PLL Multiplier]]</f>
        <v>684</v>
      </c>
      <c r="D45">
        <f xml:space="preserve"> INT(INT(Table1[[#This Row],[Output speed (Mbps)]]/Pix_clock_target+1.99)/2)*2</f>
        <v>6</v>
      </c>
      <c r="E45">
        <f>Table1[[#This Row],[Output speed (Mbps)]]/Table1[[#This Row],[Pixel clock div]]</f>
        <v>114</v>
      </c>
      <c r="F45" s="2">
        <f>IF(Table1[[#This Row],[Pixel clock div]]=8,1128,1200)</f>
        <v>1200</v>
      </c>
      <c r="G45" s="3">
        <f>Table1[[#This Row],[Minimum Line length]]/Table1[[#This Row],[Pixel clock (MHz)]]</f>
        <v>10.526315789473685</v>
      </c>
      <c r="H45" s="5">
        <f>Table1[[#This Row],[Pixel clock (MHz)]]/Table1[[#This Row],[Minimum Line length]]/Minimum_FL*1000000</f>
        <v>133.42696629213484</v>
      </c>
    </row>
  </sheetData>
  <phoneticPr fontId="3" type="noConversion"/>
  <conditionalFormatting sqref="C2:C45">
    <cfRule type="cellIs" dxfId="7" priority="1" operator="lessThan">
      <formula>750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E1BC-FCF2-4292-8B72-64D0FAC490C7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DCFIdentifier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2AF8-92A8-4433-9BC7-5C903AE22F5E}">
  <dimension ref="A1:G2"/>
  <sheetViews>
    <sheetView workbookViewId="0"/>
  </sheetViews>
  <sheetFormatPr defaultRowHeight="15" x14ac:dyDescent="0.2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16</v>
      </c>
      <c r="G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Frame rate computation</vt:lpstr>
      <vt:lpstr>Speed range</vt:lpstr>
      <vt:lpstr>Classified as UnClassified</vt:lpstr>
      <vt:lpstr>Bits</vt:lpstr>
      <vt:lpstr>Frame_length</vt:lpstr>
      <vt:lpstr>FW_offset</vt:lpstr>
      <vt:lpstr>FW_PLL_multiplier</vt:lpstr>
      <vt:lpstr>Image_height</vt:lpstr>
      <vt:lpstr>Input__clock</vt:lpstr>
      <vt:lpstr>Input_clock</vt:lpstr>
      <vt:lpstr>Line_length</vt:lpstr>
      <vt:lpstr>Line_time</vt:lpstr>
      <vt:lpstr>Maximum_frame_rate</vt:lpstr>
      <vt:lpstr>Minimum_FL</vt:lpstr>
      <vt:lpstr>Minimum_frame_length</vt:lpstr>
      <vt:lpstr>Minimum_line_length</vt:lpstr>
      <vt:lpstr>Minimum_line_time</vt:lpstr>
      <vt:lpstr>Minimum_LL</vt:lpstr>
      <vt:lpstr>Output_speed</vt:lpstr>
      <vt:lpstr>PacketHeader</vt:lpstr>
      <vt:lpstr>Pix_clock_target</vt:lpstr>
      <vt:lpstr>Pixel_clock</vt:lpstr>
      <vt:lpstr>Pixel_clock__MHz</vt:lpstr>
      <vt:lpstr>Pixel_clock_div</vt:lpstr>
      <vt:lpstr>Requested_frame_rate</vt:lpstr>
      <vt:lpstr>Requested_speed</vt:lpstr>
      <vt:lpstr>Requested_speed__Mbps</vt:lpstr>
      <vt:lpstr>Transition</vt:lpstr>
      <vt:lpstr>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MARTIN</dc:creator>
  <cp:lastModifiedBy>Adrien MARTIN</cp:lastModifiedBy>
  <dcterms:created xsi:type="dcterms:W3CDTF">2020-03-18T08:47:40Z</dcterms:created>
  <dcterms:modified xsi:type="dcterms:W3CDTF">2020-04-20T08:46:06Z</dcterms:modified>
</cp:coreProperties>
</file>